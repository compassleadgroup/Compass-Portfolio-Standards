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Info Packet" sheetId="1" state="visible" r:id="rId3"/>
    <sheet name="Citation Tracker" sheetId="2" state="visible" r:id="rId4"/>
    <sheet name="Weekly Playbook" sheetId="3" state="visible" r:id="rId5"/>
    <sheet name="Outreach Templates" sheetId="4" state="visible" r:id="rId6"/>
    <sheet name="Metrics 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<sst xmlns="http://schemas.openxmlformats.org/spreadsheetml/2006/main" count="523" uniqueCount="310">
  <si>
    <t xml:space="preserve">BUSINESS INFO PACKET — Tulsa Foundation Experts</t>
  </si>
  <si>
    <t xml:space="preserve">COPY THIS EXACT INFO INTO EVERY DIRECTORY. NAP CONSISTENCY MATTERS FOR SEO.</t>
  </si>
  <si>
    <t xml:space="preserve">HARO / Connectively response template</t>
  </si>
  <si>
    <t xml:space="preserve">CORE NAP (Name, Address, Phone)</t>
  </si>
  <si>
    <t xml:space="preserve">Business Name</t>
  </si>
  <si>
    <t xml:space="preserve">Tulsa Foundation Experts</t>
  </si>
  <si>
    <t xml:space="preserve">Legal Operating Entity</t>
  </si>
  <si>
    <t xml:space="preserve">Compass Camper LLC</t>
  </si>
  <si>
    <t xml:space="preserve">Address Line 1</t>
  </si>
  <si>
    <t xml:space="preserve">[YOUR OREGON REGISTERED AGENT ADDRESS]</t>
  </si>
  <si>
    <t xml:space="preserve">Address Line 2</t>
  </si>
  <si>
    <t xml:space="preserve">City</t>
  </si>
  <si>
    <t xml:space="preserve">Bend</t>
  </si>
  <si>
    <t xml:space="preserve">Local blog guest post pitch</t>
  </si>
  <si>
    <t xml:space="preserve">WEEK 2 — Tier 2 Industry Directories (2-3 hours total)</t>
  </si>
  <si>
    <t xml:space="preserve">Country</t>
  </si>
  <si>
    <t xml:space="preserve">United States</t>
  </si>
  <si>
    <t xml:space="preserve">Phone (display)</t>
  </si>
  <si>
    <t xml:space="preserve">(918) 673-7959</t>
  </si>
  <si>
    <t xml:space="preserve">Phone (tel link)</t>
  </si>
  <si>
    <t xml:space="preserve">+19186737959</t>
  </si>
  <si>
    <t xml:space="preserve">Email</t>
  </si>
  <si>
    <t xml:space="preserve">compassleadgroup@gmail.com</t>
  </si>
  <si>
    <t xml:space="preserve">Website</t>
  </si>
  <si>
    <t xml:space="preserve">https://tulsafoundationexperts.com</t>
  </si>
  <si>
    <t xml:space="preserve">Reddit / forum profile bio</t>
  </si>
  <si>
    <t xml:space="preserve">Primary Category</t>
  </si>
  <si>
    <t xml:space="preserve">Marketing Services</t>
  </si>
  <si>
    <t xml:space="preserve">WEEK 3 — Content/Editorial Setup (3-4 hours total)</t>
  </si>
  <si>
    <t xml:space="preserve">Third Category (if needed)</t>
  </si>
  <si>
    <t xml:space="preserve">Home Improvement Referral Service</t>
  </si>
  <si>
    <t xml:space="preserve">Tulsa World op-ed pitch</t>
  </si>
  <si>
    <t xml:space="preserve">SERVICE AREA</t>
  </si>
  <si>
    <t xml:space="preserve">Service Type</t>
  </si>
  <si>
    <t xml:space="preserve">Service Area Business (we serve customers at their locations)</t>
  </si>
  <si>
    <t xml:space="preserve">Primary Service City</t>
  </si>
  <si>
    <t xml:space="preserve">Tulsa, OK</t>
  </si>
  <si>
    <t xml:space="preserve">Service Areas</t>
  </si>
  <si>
    <t xml:space="preserve">Tulsa, Broken Arrow, Bixby, Owasso, Jenks, Sand Springs, Sapulpa, Glenpool, Coweta, Catoosa, Collinsville, Skiatook</t>
  </si>
  <si>
    <t xml:space="preserve">Tulsa Chamber outreach</t>
  </si>
  <si>
    <t xml:space="preserve">WEEK 4 — Outreach &amp; Relationship Seeds (2-3 hours total)</t>
  </si>
  <si>
    <t xml:space="preserve">Monday</t>
  </si>
  <si>
    <t xml:space="preserve">8:00 AM - 5:00 PM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</si>
  <si>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</si>
  <si>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</si>
  <si>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</si>
  <si>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</si>
  <si>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</si>
  <si>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Closed</t>
  </si>
  <si>
    <t xml:space="preserve">Sunday</t>
  </si>
  <si>
    <t xml:space="preserve">MONTHS 2-3 — Ongoing Cadence</t>
  </si>
  <si>
    <t xml:space="preserve">BUSINESS DESCRIPTION (Short — 250 chars)</t>
  </si>
  <si>
    <t xml:space="preserve">Short Description</t>
  </si>
  <si>
    <t xml:space="preserve">Tulsa Foundation Experts connects homeowners with licensed local foundation repair contractors. Free inspections. Honest assessments. Operated by Compass Camper LLC.</t>
  </si>
  <si>
    <t xml:space="preserve">BUSINESS DESCRIPTION (Long — 500-750 chars)</t>
  </si>
  <si>
    <t xml:space="preserve">Long Description</t>
  </si>
  <si>
    <t xml:space="preserve">Tulsa Foundation Experts is a marketing service connecting Tulsa-area homeowners with licensed, insured foundation repair contractors. Operated by Compass Camper LLC of Oregon, we are not a foundation contractor — we help you find one. Tulsas expansive clay soil and freeze-thaw cycles damage foundations year-round. When you contact us, your inspection request goes directly to a licensed local contractor who provides a free assessment and written estimate. No high-pressure sales. No pre-payments. Just an honest evaluation from a qualified professional.</t>
  </si>
  <si>
    <t xml:space="preserve">KEYWORDS / TAGS (for directories that ask)</t>
  </si>
  <si>
    <t xml:space="preserve">Keywords</t>
  </si>
  <si>
    <t xml:space="preserve">foundation repair, foundation inspection, house leveling, pier and beam repair, slab repair, mudjacking, crawl space repair, drainage solutions, structural repair, Tulsa, Broken Arrow, Bixby, Owasso, Oklahoma</t>
  </si>
  <si>
    <t xml:space="preserve">COMPLIANCE REMINDERS</t>
  </si>
  <si>
    <t xml:space="preserve">Logo</t>
  </si>
  <si>
    <t xml:space="preserve">Use the orange house icon from your site. Export from src/components/Logo.astro at 500x500px PNG</t>
  </si>
  <si>
    <t xml:space="preserve">Cover photo</t>
  </si>
  <si>
    <t xml:space="preserve">Use a stock photo of a Tulsa home OR text-only branded image. NO fake "team photos."</t>
  </si>
  <si>
    <t xml:space="preserve">Image guidance</t>
  </si>
  <si>
    <t xml:space="preserve">Most directories want 5-10 images. Use generic Tulsa/foundation stock photos. Never use AI-generated images of "your team" or "your office."</t>
  </si>
  <si>
    <t xml:space="preserve">COMPLIANCE NOTES</t>
  </si>
  <si>
    <t xml:space="preserve">IMPORTANT</t>
  </si>
  <si>
    <t xml:space="preserve">Never claim to be a foundation contractor on any directory listing.</t>
  </si>
  <si>
    <t xml:space="preserve">Never check certifications, licenses, or insurance boxes for Compass Camper LLC unless those are true.</t>
  </si>
  <si>
    <t xml:space="preserve">If a directory asks for "Owner Name" — use "Compass Camper LLC" — do not use a personal name unless you are comfortable with that name appearing publicly.</t>
  </si>
  <si>
    <t xml:space="preserve">If a directory has a "Reviews" section, do NOT solicit fake reviews. Leave empty until real customer reviews exist.</t>
  </si>
  <si>
    <t xml:space="preserve">Priority</t>
  </si>
  <si>
    <t xml:space="preserve">Directory</t>
  </si>
  <si>
    <t xml:space="preserve">URL</t>
  </si>
  <si>
    <t xml:space="preserve">Tier</t>
  </si>
  <si>
    <t xml:space="preserve">Status</t>
  </si>
  <si>
    <t xml:space="preserve">Login Email Used</t>
  </si>
  <si>
    <t xml:space="preserve">Date Submitted</t>
  </si>
  <si>
    <t xml:space="preserve">Verification Method</t>
  </si>
  <si>
    <t xml:space="preserve">Verification Status</t>
  </si>
  <si>
    <t xml:space="preserve">Listing Live (URL)</t>
  </si>
  <si>
    <t xml:space="preserve">Notes</t>
  </si>
  <si>
    <t xml:space="preserve">Bing Places for Business</t>
  </si>
  <si>
    <t xml:space="preserve">https://www.bingplaces.com/</t>
  </si>
  <si>
    <t xml:space="preserve">Tier 1</t>
  </si>
  <si>
    <t xml:space="preserve">Not Started</t>
  </si>
  <si>
    <t xml:space="preserve">Pending</t>
  </si>
  <si>
    <t xml:space="preserve">Accepts service-area businesses. Imports from Bing Webmaster Tools.</t>
  </si>
  <si>
    <t xml:space="preserve">Apple Maps Connect</t>
  </si>
  <si>
    <t xml:space="preserve">https://mapsconnect.apple.com/</t>
  </si>
  <si>
    <t xml:space="preserve">Need Apple ID. Flexible on service-area addresses.</t>
  </si>
  <si>
    <t xml:space="preserve">Foursquare for Business</t>
  </si>
  <si>
    <t xml:space="preserve">https://business.foursquare.com/</t>
  </si>
  <si>
    <t xml:space="preserve">Works for service-area businesses. Used by Apple Maps, Yahoo, others.</t>
  </si>
  <si>
    <t xml:space="preserve">Manta</t>
  </si>
  <si>
    <t xml:space="preserve">https://www.manta.com/</t>
  </si>
  <si>
    <t xml:space="preserve">Free basic listing. Lenient verification.</t>
  </si>
  <si>
    <t xml:space="preserve">Hotfrog</t>
  </si>
  <si>
    <t xml:space="preserve">https://www.hotfrog.com/</t>
  </si>
  <si>
    <t xml:space="preserve">Free listing. International directory, very lenient.</t>
  </si>
  <si>
    <t xml:space="preserve">eBusinessPages</t>
  </si>
  <si>
    <t xml:space="preserve">https://www.ebusinesspages.com/</t>
  </si>
  <si>
    <t xml:space="preserve">Free listing. Accepts service businesses.</t>
  </si>
  <si>
    <t xml:space="preserve">Brownbook</t>
  </si>
  <si>
    <t xml:space="preserve">https://www.brownbook.net/</t>
  </si>
  <si>
    <t xml:space="preserve">International business directory. Very lenient.</t>
  </si>
  <si>
    <t xml:space="preserve">Cylex USA</t>
  </si>
  <si>
    <t xml:space="preserve">https://www.cylex.us.com/</t>
  </si>
  <si>
    <t xml:space="preserve">Accepts most US businesses.</t>
  </si>
  <si>
    <t xml:space="preserve">Local.com</t>
  </si>
  <si>
    <t xml:space="preserve">https://www.local.com/</t>
  </si>
  <si>
    <t xml:space="preserve">Free basic listing.</t>
  </si>
  <si>
    <t xml:space="preserve">ShowMeLocal</t>
  </si>
  <si>
    <t xml:space="preserve">https://www.showmelocal.com/</t>
  </si>
  <si>
    <t xml:space="preserve">Free directory. Quick approval.</t>
  </si>
  <si>
    <t xml:space="preserve">Houzz Pro</t>
  </si>
  <si>
    <t xml:space="preserve">https://www.houzz.com/pro/</t>
  </si>
  <si>
    <t xml:space="preserve">Tier 2</t>
  </si>
  <si>
    <t xml:space="preserve">Email + Phone</t>
  </si>
  <si>
    <t xml:space="preserve">Use "Service Provider" category, not "General Contractor."</t>
  </si>
  <si>
    <t xml:space="preserve">Porch</t>
  </si>
  <si>
    <t xml:space="preserve">https://porch.com/</t>
  </si>
  <si>
    <t xml:space="preserve">Service marketplace. Be careful selecting category as marketing service.</t>
  </si>
  <si>
    <t xml:space="preserve">BuildZoom</t>
  </si>
  <si>
    <t xml:space="preserve">https://www.buildzoom.com/</t>
  </si>
  <si>
    <t xml:space="preserve">Construction-focused. Free profile.</t>
  </si>
  <si>
    <t xml:space="preserve">Yellow Pages</t>
  </si>
  <si>
    <t xml:space="preserve">https://www.yellowpages.com/</t>
  </si>
  <si>
    <t xml:space="preserve">Free basic listing. National listing OK without local address.</t>
  </si>
  <si>
    <t xml:space="preserve">DexKnows</t>
  </si>
  <si>
    <t xml:space="preserve">https://www.dexknows.com/</t>
  </si>
  <si>
    <t xml:space="preserve">Powered by YP. Same listing data.</t>
  </si>
  <si>
    <t xml:space="preserve">Citysearch</t>
  </si>
  <si>
    <t xml:space="preserve">https://www.citysearch.com/</t>
  </si>
  <si>
    <t xml:space="preserve">Local city directory. Free listing.</t>
  </si>
  <si>
    <t xml:space="preserve">Superpages</t>
  </si>
  <si>
    <t xml:space="preserve">https://www.superpages.com/</t>
  </si>
  <si>
    <t xml:space="preserve">Yellow Pages network.</t>
  </si>
  <si>
    <t xml:space="preserve">Merchant Circle</t>
  </si>
  <si>
    <t xml:space="preserve">https://www.merchantcircle.com/</t>
  </si>
  <si>
    <t xml:space="preserve">Small business directory.</t>
  </si>
  <si>
    <t xml:space="preserve">Yelp for Business</t>
  </si>
  <si>
    <t xml:space="preserve">https://biz.yelp.com/</t>
  </si>
  <si>
    <t xml:space="preserve">Tier 3</t>
  </si>
  <si>
    <t xml:space="preserve">Defer</t>
  </si>
  <si>
    <t xml:space="preserve">Phone</t>
  </si>
  <si>
    <t xml:space="preserve">STRICT on address verification. Defer until tenant or Tulsa address.</t>
  </si>
  <si>
    <t xml:space="preserve">Better Business Bureau (Tulsa)</t>
  </si>
  <si>
    <t xml:space="preserve">https://www.bbb.org/us/ok/tulsa</t>
  </si>
  <si>
    <t xml:space="preserve">Phone + Mail</t>
  </si>
  <si>
    <t xml:space="preserve">Requires local Tulsa presence. Defer until tenant.</t>
  </si>
  <si>
    <t xml:space="preserve">Angi (formerly Angies List)</t>
  </si>
  <si>
    <t xml:space="preserve">https://www.angi.com/</t>
  </si>
  <si>
    <t xml:space="preserve">Increasingly strict on service area verification. Defer.</t>
  </si>
  <si>
    <t xml:space="preserve">HomeAdvisor</t>
  </si>
  <si>
    <t xml:space="preserve">https://www.homeadvisor.com/</t>
  </si>
  <si>
    <t xml:space="preserve">Same parent as Angi. Defer.</t>
  </si>
  <si>
    <t xml:space="preserve">Thumbtack</t>
  </si>
  <si>
    <t xml:space="preserve">https://www.thumbtack.com/</t>
  </si>
  <si>
    <t xml:space="preserve">Lead marketplace. Less useful for marketing service. Defer.</t>
  </si>
  <si>
    <t xml:space="preserve">Nextdoor Business</t>
  </si>
  <si>
    <t xml:space="preserve">https://business.nextdoor.com/</t>
  </si>
  <si>
    <t xml:space="preserve">Mail (postcard)</t>
  </si>
  <si>
    <t xml:space="preserve">Requires postcard to local address. Defer until Tulsa address.</t>
  </si>
  <si>
    <t xml:space="preserve">HARO / Connectively</t>
  </si>
  <si>
    <t xml:space="preserve">https://connectively.us/</t>
  </si>
  <si>
    <t xml:space="preserve">Tier 4</t>
  </si>
  <si>
    <t xml:space="preserve">N/A</t>
  </si>
  <si>
    <t xml:space="preserve">Sign up as a source. Respond to journalist queries about home buying, foundation issues, real estate. Each successful response = real editorial backlink.</t>
  </si>
  <si>
    <t xml:space="preserve">Help A B2B Writer</t>
  </si>
  <si>
    <t xml:space="preserve">https://www.helpab2bwriter.com/</t>
  </si>
  <si>
    <t xml:space="preserve">Similar to HARO but for B2B/trade publications.</t>
  </si>
  <si>
    <t xml:space="preserve">Medium (publish guest articles)</t>
  </si>
  <si>
    <t xml:space="preserve">https://medium.com/</t>
  </si>
  <si>
    <t xml:space="preserve">Write articles about foundation repair tips. Link to your site in author bio.</t>
  </si>
  <si>
    <t xml:space="preserve">Reddit profile (r/Tulsa, r/RealEstate)</t>
  </si>
  <si>
    <t xml:space="preserve">https://www.reddit.com/</t>
  </si>
  <si>
    <t xml:space="preserve">Build a profile, answer questions thoughtfully. Link in profile, not in answers.</t>
  </si>
  <si>
    <t xml:space="preserve">Quora answers (Foundation repair, Tulsa)</t>
  </si>
  <si>
    <t xml:space="preserve">https://www.quora.com/</t>
  </si>
  <si>
    <t xml:space="preserve">Answer real questions. Link in profile.</t>
  </si>
  <si>
    <t xml:space="preserve">Tulsa Regional Chamber of Commerce</t>
  </si>
  <si>
    <t xml:space="preserve">https://www.tulsachamber.com/</t>
  </si>
  <si>
    <t xml:space="preserve">Tier 5</t>
  </si>
  <si>
    <t xml:space="preserve">Email + Payment</t>
  </si>
  <si>
    <t xml:space="preserve">Membership ~$300-500/yr. Provides .com chamber backlink. Defer 2-3 months.</t>
  </si>
  <si>
    <t xml:space="preserve">Tulsa World guest commentary</t>
  </si>
  <si>
    <t xml:space="preserve">https://www.tulsaworld.com/</t>
  </si>
  <si>
    <t xml:space="preserve">Email pitch</t>
  </si>
  <si>
    <t xml:space="preserve">Pitch a homeowner-tips article about Tulsa foundation issues. High-value if accepted.</t>
  </si>
  <si>
    <t xml:space="preserve">Greater Tulsa Association of REALTORS</t>
  </si>
  <si>
    <t xml:space="preserve">https://www.gtarealtors.com/</t>
  </si>
  <si>
    <t xml:space="preserve">Outreach</t>
  </si>
  <si>
    <t xml:space="preserve">Realtor partnerships. Pitch as a vendor resource.</t>
  </si>
  <si>
    <t xml:space="preserve">TulsaPeople Magazine</t>
  </si>
  <si>
    <t xml:space="preserve">https://www.tulsapeople.com/</t>
  </si>
  <si>
    <t xml:space="preserve">Lifestyle publication. Pitch seasonal home maintenance angle.</t>
  </si>
  <si>
    <t xml:space="preserve">This Land Press / The Frontier</t>
  </si>
  <si>
    <t xml:space="preserve">https://www.readfrontier.org/</t>
  </si>
  <si>
    <t xml:space="preserve">Investigative local journalism. Lower probability but high quality.</t>
  </si>
  <si>
    <t xml:space="preserve">WEEKLY EXECUTION PLAYBOOK — First 4 Weeks</t>
  </si>
  <si>
    <t xml:space="preserve">Day</t>
  </si>
  <si>
    <t xml:space="preserve">Task</t>
  </si>
  <si>
    <t xml:space="preserve">Time</t>
  </si>
  <si>
    <t xml:space="preserve">Sign up at Bing Places. Import business from Bing Webmaster Tools. Complete profile.</t>
  </si>
  <si>
    <t xml:space="preserve">30 min</t>
  </si>
  <si>
    <t xml:space="preserve">Submit to Apple Maps Connect. Foursquare for Business. Use Business Info Packet for consistency.</t>
  </si>
  <si>
    <t xml:space="preserve">45 min</t>
  </si>
  <si>
    <t xml:space="preserve">Submit to Manta, Hotfrog, eBusinessPages.</t>
  </si>
  <si>
    <t xml:space="preserve">Submit to Brownbook, Cylex, Local.com.</t>
  </si>
  <si>
    <t xml:space="preserve">Submit to ShowMeLocal. Update Citation Tracker with all 10 Tier 1 statuses.</t>
  </si>
  <si>
    <t xml:space="preserve">20 min</t>
  </si>
  <si>
    <t xml:space="preserve">Weekend</t>
  </si>
  <si>
    <t xml:space="preserve">No work. Wait for any verification emails/calls.</t>
  </si>
  <si>
    <t xml:space="preserve">0 min</t>
  </si>
  <si>
    <t xml:space="preserve">Yellow Pages, DexKnows, Superpages (Yellow Pages network).</t>
  </si>
  <si>
    <t xml:space="preserve">Citysearch, Merchant Circle.</t>
  </si>
  <si>
    <t xml:space="preserve">BuildZoom (construction industry). Houzz Pro (use Service Provider category).</t>
  </si>
  <si>
    <t xml:space="preserve">Porch (be careful with category selection).</t>
  </si>
  <si>
    <t xml:space="preserve">Update tracker. Check on any Week 1 listings that went live.</t>
  </si>
  <si>
    <t xml:space="preserve">No work.</t>
  </si>
  <si>
    <t xml:space="preserve">Sign up for HARO / Connectively. Set up email filters for "home," "foundation," "real estate," "Tulsa" queries.</t>
  </si>
  <si>
    <t xml:space="preserve">Set up Medium profile. Write first guest article: "7 Signs Your Tulsa Home Needs Foundation Repair." Use content from your blog post.</t>
  </si>
  <si>
    <t xml:space="preserve">90 min</t>
  </si>
  <si>
    <t xml:space="preserve">Create Reddit profile. Join r/Tulsa, r/RealEstate, r/Foundations. Read for context.</t>
  </si>
  <si>
    <t xml:space="preserve">Create Quora profile. Search for foundation/Tulsa questions. Write 2-3 thoughtful answers (no spam, real value).</t>
  </si>
  <si>
    <t xml:space="preserve">60 min</t>
  </si>
  <si>
    <t xml:space="preserve">Update tracker. Respond to any HARO queries that came in.</t>
  </si>
  <si>
    <t xml:space="preserve">Research Tulsa real estate blogs that accept guest posts. List 5 candidates.</t>
  </si>
  <si>
    <t xml:space="preserve">Draft 1 personalized pitch email to a real estate blog. Subject line: short, specific. Include your guest article idea.</t>
  </si>
  <si>
    <t xml:space="preserve">Send the pitch. Send 1 more to a different blog.</t>
  </si>
  <si>
    <t xml:space="preserve">Research Tulsa World contributor guidelines for guest commentary. Pitch a story angle (e.g., "How Tulsa drought is damaging foundations in 2026").</t>
  </si>
  <si>
    <t xml:space="preserve">Update tracker. Review SEO progress in Search Console.</t>
  </si>
  <si>
    <t xml:space="preserve">Weekly</t>
  </si>
  <si>
    <t xml:space="preserve">Check HARO queries 3x per week. Respond to 1-2 if relevant.</t>
  </si>
  <si>
    <t xml:space="preserve">60 min/week</t>
  </si>
  <si>
    <t xml:space="preserve">Publish 1 piece of content (blog post on site OR Medium article OR Quora answer).</t>
  </si>
  <si>
    <t xml:space="preserve">90 min/week</t>
  </si>
  <si>
    <t xml:space="preserve">Send 2-3 outreach pitches (chambers, blogs, partnerships).</t>
  </si>
  <si>
    <t xml:space="preserve">45 min/week</t>
  </si>
  <si>
    <t xml:space="preserve">Monthly</t>
  </si>
  <si>
    <t xml:space="preserve">Review Citation Tracker. Fix any that got rejected. Resubmit if appropriate.</t>
  </si>
  <si>
    <t xml:space="preserve">60 min/month</t>
  </si>
  <si>
    <t xml:space="preserve">Check Search Console for impression/click growth. Identify new keywords to target.</t>
  </si>
  <si>
    <t xml:space="preserve">CRITICAL</t>
  </si>
  <si>
    <t xml:space="preserve">Never claim Compass Camper LLC is a foundation contractor on any directory.</t>
  </si>
  <si>
    <t xml:space="preserve">Never solicit fake reviews. Leave review sections empty until real customer reviews exist.</t>
  </si>
  <si>
    <t xml:space="preserve">Never check certifications, licenses, or insurance boxes you cannot back up.</t>
  </si>
  <si>
    <t xml:space="preserve">Use the exact NAP from Business Info Packet on every directory. Consistency matters more than perfection.</t>
  </si>
  <si>
    <t xml:space="preserve">If a directory rejects you, do NOT keep resubmitting with different info. Update tracker and move on.</t>
  </si>
  <si>
    <t xml:space="preserve">OUTREACH &amp; RESPONSE TEMPLATES</t>
  </si>
  <si>
    <t xml:space="preserve">When to use</t>
  </si>
  <si>
    <t xml:space="preserve">Journalist asks for a quote about home buying, foundation repair, real estate, Tulsa property market.</t>
  </si>
  <si>
    <t xml:space="preserve">Subject line</t>
  </si>
  <si>
    <t xml:space="preserve">Re: [Journalist query subject] — Tulsa foundation expertise</t>
  </si>
  <si>
    <t xml:space="preserve">Opening</t>
  </si>
  <si>
    <t xml:space="preserve">Hi [Name], I run Tulsa Foundation Experts, a marketing service that connects Tulsa-area homeowners with licensed foundation repair contractors. Happy to provide insight on [topic of their query].</t>
  </si>
  <si>
    <t xml:space="preserve">Body structure</t>
  </si>
  <si>
    <t xml:space="preserve">1. State your relevant insight (2-3 sentences with specifics).
2. Provide a quotable statement (1-2 sentences).
3. Mention your contact info and site.
4. Offer to provide more if needed.</t>
  </si>
  <si>
    <t xml:space="preserve">Bio/credit line</t>
  </si>
  <si>
    <t xml:space="preserve">Anthony [Last Name], Tulsa Foundation Experts (operated by Compass Camper LLC, Oregon), tulsafoundationexperts.com</t>
  </si>
  <si>
    <t xml:space="preserve">Tip</t>
  </si>
  <si>
    <t xml:space="preserve">Respond within 1-2 hours of HARO email. Journalists work fast.</t>
  </si>
  <si>
    <t xml:space="preserve">Pitching a Tulsa real estate, lifestyle, or home blog for a guest article.</t>
  </si>
  <si>
    <t xml:space="preserve">Guest article idea: [specific title that fits their content]</t>
  </si>
  <si>
    <t xml:space="preserve">Hi [Name], I read your post about [specific recent article] and thought your audience would value a piece on [angle].</t>
  </si>
  <si>
    <t xml:space="preserve">Body</t>
  </si>
  <si>
    <t xml:space="preserve">I run Tulsa Foundation Experts and Im seeing a pattern with [specific Tulsa-relevant trend]. Id like to write a 800-1200 word guide for your readers covering [3-4 specific points].
If interesting, I can draft and send by [date]. No payment expected — just a byline link to my site.</t>
  </si>
  <si>
    <t xml:space="preserve">Close</t>
  </si>
  <si>
    <t xml:space="preserve">Either way, thanks for the content youre putting out. — Anthony</t>
  </si>
  <si>
    <t xml:space="preserve">Personalize the "recent article" reference. Generic pitches get deleted.</t>
  </si>
  <si>
    <t xml:space="preserve">Setting up Reddit, Quora, or forum profile.</t>
  </si>
  <si>
    <t xml:space="preserve">Bio template</t>
  </si>
  <si>
    <t xml:space="preserve">Operator of Tulsa Foundation Experts — a marketing service connecting Tulsa-area homeowners with licensed foundation contractors. Not a contractor myself. Happy to discuss foundation issues, the Tulsa housing market, or referrals.</t>
  </si>
  <si>
    <t xml:space="preserve">Use this exact wording. Honest framing builds trust on forums.</t>
  </si>
  <si>
    <t xml:space="preserve">Pitching local newspaper for a guest commentary.</t>
  </si>
  <si>
    <t xml:space="preserve">Op-ed pitch: [specific timely angle]</t>
  </si>
  <si>
    <t xml:space="preserve">Editor [Name], with [drought/storm/season] this year, Tulsa homeowners are facing [specific foundation issue]. As someone who connects local homeowners with foundation contractors daily, Im seeing [specific pattern]. Id like to submit a 600-800 word op-ed for your readers covering [3 main points].
My site is tulsafoundationexperts.com, operated by Compass Camper LLC. Happy to draft on speculation if of interest.</t>
  </si>
  <si>
    <t xml:space="preserve">Tie pitch to a seasonal/timely angle. Editors say yes to relevant, no to evergreen.</t>
  </si>
  <si>
    <t xml:space="preserve">When ready to join (~Month 3).</t>
  </si>
  <si>
    <t xml:space="preserve">Tulsa Regional Chamber: tulsachamber.com. Membership tiers start ~$365/year. Membership gives a chamber listing link plus networking access. Worth the cost when you have a tenant contractor to refer to.</t>
  </si>
  <si>
    <t xml:space="preserve">METRICS DASHBOARD — Track Progress</t>
  </si>
  <si>
    <t xml:space="preserve">Update monthly. Track citation submissions, search performance, and form submissions over time.</t>
  </si>
  <si>
    <t xml:space="preserve">CITATION SUMMARY</t>
  </si>
  <si>
    <t xml:space="preserve">Total Directories</t>
  </si>
  <si>
    <t xml:space="preserve">Submitted</t>
  </si>
  <si>
    <t xml:space="preserve">Live</t>
  </si>
  <si>
    <t xml:space="preserve">Tier 1 (Easy)</t>
  </si>
  <si>
    <t xml:space="preserve">Tier 2 (Industry)</t>
  </si>
  <si>
    <t xml:space="preserve">Tier 4 (Content)</t>
  </si>
  <si>
    <t xml:space="preserve">TOTAL</t>
  </si>
  <si>
    <t xml:space="preserve">SEARCH CONSOLE MONTHLY TRACKING</t>
  </si>
  <si>
    <t xml:space="preserve">Month</t>
  </si>
  <si>
    <t xml:space="preserve">Total Impressions</t>
  </si>
  <si>
    <t xml:space="preserve">Total Clicks</t>
  </si>
  <si>
    <t xml:space="preserve">Avg Position</t>
  </si>
  <si>
    <t xml:space="preserve">May 2026 (baseline)</t>
  </si>
  <si>
    <t xml:space="preserve">June 2026</t>
  </si>
  <si>
    <t xml:space="preserve">July 2026</t>
  </si>
  <si>
    <t xml:space="preserve">August 2026</t>
  </si>
  <si>
    <t xml:space="preserve">September 2026</t>
  </si>
  <si>
    <t xml:space="preserve">October 2026</t>
  </si>
  <si>
    <t xml:space="preserve">November 2026</t>
  </si>
  <si>
    <t xml:space="preserve">December 2026</t>
  </si>
  <si>
    <t xml:space="preserve">LEAD TRACKING</t>
  </si>
  <si>
    <t xml:space="preserve">Form Submissions</t>
  </si>
  <si>
    <t xml:space="preserve">Phone Calls</t>
  </si>
  <si>
    <t xml:space="preserve">Total Leads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</si>
</sst>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47B20"/>
        <bgColor rgb="FFFF9900"/>
      </patternFill>
    </fill>
    <fill>
      <patternFill patternType="solid">
        <fgColor rgb="FFFFF4E5"/>
        <bgColor rgb="FFFFF3CD"/>
      </patternFill>
    </fill>
    <fill>
      <patternFill patternType="solid">
        <fgColor rgb="FFD4EDDA"/>
        <bgColor rgb="FFD1ECF1"/>
      </patternFill>
    </fill>
    <fill>
      <patternFill patternType="solid">
        <fgColor rgb="FFD1ECF1"/>
        <bgColor rgb="FFD4EDDA"/>
      </patternFill>
    </fill>
    <fill>
      <patternFill patternType="solid">
        <fgColor rgb="FFF8D7DA"/>
        <bgColor rgb="FFFFE5E5"/>
      </patternFill>
    </fill>
    <fill>
      <patternFill patternType="solid">
        <fgColor rgb="FFFFF3CD"/>
        <bgColor rgb="FFFFF4E5"/>
      </patternFill>
    </fill>
    <fill>
      <patternFill patternType="solid">
        <fgColor rgb="FFE2D9F3"/>
        <bgColor rgb="FFE8E8E8"/>
      </patternFill>
    </fill>
    <fill>
      <patternFill patternType="solid">
        <fgColor rgb="FFE8E8E8"/>
        <bgColor rgb="FFD4EDDA"/>
      </patternFill>
    </fill>
    <fill>
      <patternFill patternType="solid">
        <fgColor rgb="FFFFE5E5"/>
        <bgColor rgb="FFFFF4E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E5E5"/>
      <rgbColor rgb="FF808080"/>
      <rgbColor rgb="FF9999FF"/>
      <rgbColor rgb="FF993366"/>
      <rgbColor rgb="FFFFF3CD"/>
      <rgbColor rgb="FFD1ECF1"/>
      <rgbColor rgb="FF660066"/>
      <rgbColor rgb="FFFF8080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4EDDA"/>
      <rgbColor rgb="FFFFF4E5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47B20"/>
      <rgbColor rgb="FF666666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3" customFormat="false" ht="21.75" hidden="false" customHeight="true" outlineLevel="0" collapsed="false">
      <c r="A3" s="3" t="s">
        <v>2</v>
      </c>
      <c r="B3" s="3"/>
    </row>
    <row r="4" customFormat="false" ht="21.75" hidden="false" customHeight="true" outlineLevel="0" collapsed="false">
      <c r="A4" s="3" t="s">
        <v>3</v>
      </c>
      <c r="B4" s="3"/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6" t="s">
        <v>9</v>
      </c>
    </row>
    <row r="8" customFormat="false" ht="15" hidden="false" customHeight="false" outlineLevel="0" collapsed="false">
      <c r="A8" s="4" t="s">
        <v>10</v>
      </c>
      <c r="B8" s="5"/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21.75" hidden="false" customHeight="true" outlineLevel="0" collapsed="false">
      <c r="A10" s="3" t="s">
        <v>13</v>
      </c>
      <c r="B10" s="3"/>
    </row>
    <row r="11" customFormat="false" ht="21.75" hidden="false" customHeight="true" outlineLevel="0" collapsed="false">
      <c r="A11" s="3" t="s">
        <v>14</v>
      </c>
      <c r="B11" s="3"/>
    </row>
    <row r="12" customFormat="false" ht="15" hidden="false" customHeight="false" outlineLevel="0" collapsed="false">
      <c r="A12" s="4" t="s">
        <v>15</v>
      </c>
      <c r="B12" s="5" t="s">
        <v>16</v>
      </c>
    </row>
    <row r="13" customFormat="false" ht="15" hidden="false" customHeight="false" outlineLevel="0" collapsed="false">
      <c r="A13" s="4" t="s">
        <v>17</v>
      </c>
      <c r="B13" s="5" t="s">
        <v>18</v>
      </c>
    </row>
    <row r="14" customFormat="false" ht="15" hidden="false" customHeight="false" outlineLevel="0" collapsed="false">
      <c r="A14" s="4" t="s">
        <v>19</v>
      </c>
      <c r="B14" s="5" t="s">
        <v>20</v>
      </c>
    </row>
    <row r="15" customFormat="false" ht="15" hidden="false" customHeight="false" outlineLevel="0" collapsed="false">
      <c r="A15" s="4" t="s">
        <v>21</v>
      </c>
      <c r="B15" s="5" t="s">
        <v>22</v>
      </c>
    </row>
    <row r="16" customFormat="false" ht="15" hidden="false" customHeight="false" outlineLevel="0" collapsed="false">
      <c r="A16" s="4" t="s">
        <v>23</v>
      </c>
      <c r="B16" s="5" t="s">
        <v>24</v>
      </c>
    </row>
    <row r="17" customFormat="false" ht="21.75" hidden="false" customHeight="true" outlineLevel="0" collapsed="false">
      <c r="A17" s="3" t="s">
        <v>25</v>
      </c>
      <c r="B17" s="3"/>
    </row>
    <row r="18" customFormat="false" ht="15" hidden="false" customHeight="false" outlineLevel="0" collapsed="false">
      <c r="A18" s="4" t="s">
        <v>26</v>
      </c>
      <c r="B18" s="5" t="s">
        <v>27</v>
      </c>
    </row>
    <row r="19" customFormat="false" ht="21.75" hidden="false" customHeight="true" outlineLevel="0" collapsed="false">
      <c r="A19" s="3" t="s">
        <v>28</v>
      </c>
      <c r="B19" s="3"/>
    </row>
    <row r="20" customFormat="false" ht="15" hidden="false" customHeight="false" outlineLevel="0" collapsed="false">
      <c r="A20" s="4" t="s">
        <v>29</v>
      </c>
      <c r="B20" s="5" t="s">
        <v>30</v>
      </c>
    </row>
    <row r="21" customFormat="false" ht="21.75" hidden="false" customHeight="true" outlineLevel="0" collapsed="false">
      <c r="A21" s="3" t="s">
        <v>31</v>
      </c>
      <c r="B21" s="3"/>
    </row>
    <row r="22" customFormat="false" ht="21.75" hidden="false" customHeight="true" outlineLevel="0" collapsed="false">
      <c r="A22" s="3" t="s">
        <v>32</v>
      </c>
      <c r="B22" s="3"/>
    </row>
    <row r="23" customFormat="false" ht="15" hidden="false" customHeight="false" outlineLevel="0" collapsed="false">
      <c r="A23" s="4" t="s">
        <v>33</v>
      </c>
      <c r="B23" s="5" t="s">
        <v>34</v>
      </c>
    </row>
    <row r="24" customFormat="false" ht="15" hidden="false" customHeight="false" outlineLevel="0" collapsed="false">
      <c r="A24" s="4" t="s">
        <v>35</v>
      </c>
      <c r="B24" s="5" t="s">
        <v>36</v>
      </c>
    </row>
    <row r="25" customFormat="false" ht="26.85" hidden="false" customHeight="false" outlineLevel="0" collapsed="false">
      <c r="A25" s="4" t="s">
        <v>37</v>
      </c>
      <c r="B25" s="5" t="s">
        <v>38</v>
      </c>
    </row>
    <row r="26" customFormat="false" ht="21.75" hidden="false" customHeight="true" outlineLevel="0" collapsed="false">
      <c r="A26" s="3" t="s">
        <v>39</v>
      </c>
      <c r="B26" s="3"/>
    </row>
    <row r="27" customFormat="false" ht="21.75" hidden="false" customHeight="true" outlineLevel="0" collapsed="false">
      <c r="A27" s="3" t="s">
        <v>40</v>
      </c>
      <c r="B27" s="3"/>
    </row>
    <row r="28" customFormat="false" ht="15" hidden="false" customHeight="false" outlineLevel="0" collapsed="false">
      <c r="A28" s="4" t="s">
        <v>41</v>
      </c>
      <c r="B28" s="5" t="s">
        <v>42</v>
      </c>
    </row>
    <row r="29" customFormat="false" ht="15" hidden="false" customHeight="false" outlineLevel="0" collapsed="false">
      <c r="A29" s="4" t="s">
        <v>43</v>
      </c>
      <c r="B29" s="5" t="s">
        <v>42</v>
      </c>
    </row>
    <row r="30" customFormat="false" ht="15" hidden="false" customHeight="false" outlineLevel="0" collapsed="false">
      <c r="A30" s="4" t="s">
        <v>44</v>
      </c>
      <c r="B30" s="5" t="s">
        <v>42</v>
      </c>
    </row>
    <row r="31" customFormat="false" ht="15" hidden="false" customHeight="false" outlineLevel="0" collapsed="false">
      <c r="A31" s="4" t="s">
        <v>45</v>
      </c>
      <c r="B31" s="5" t="s">
        <v>42</v>
      </c>
    </row>
    <row r="32" customFormat="false" ht="15" hidden="false" customHeight="false" outlineLevel="0" collapsed="false">
      <c r="A32" s="4" t="s">
        <v>46</v>
      </c>
      <c r="B32" s="5" t="s">
        <v>42</v>
      </c>
    </row>
    <row r="33" customFormat="false" ht="15" hidden="false" customHeight="false" outlineLevel="0" collapsed="false">
      <c r="A33" s="4" t="s">
        <v>47</v>
      </c>
      <c r="B33" s="5" t="s">
        <v>48</v>
      </c>
    </row>
    <row r="34" customFormat="false" ht="15" hidden="false" customHeight="false" outlineLevel="0" collapsed="false">
      <c r="A34" s="4" t="s">
        <v>49</v>
      </c>
      <c r="B34" s="5" t="s">
        <v>48</v>
      </c>
    </row>
    <row r="35" customFormat="false" ht="21.75" hidden="false" customHeight="true" outlineLevel="0" collapsed="false">
      <c r="A35" s="3" t="s">
        <v>50</v>
      </c>
      <c r="B35" s="3"/>
    </row>
    <row r="36" customFormat="false" ht="21.75" hidden="false" customHeight="true" outlineLevel="0" collapsed="false">
      <c r="A36" s="3" t="s">
        <v>51</v>
      </c>
      <c r="B36" s="3"/>
    </row>
    <row r="37" customFormat="false" ht="26.85" hidden="false" customHeight="false" outlineLevel="0" collapsed="false">
      <c r="A37" s="4" t="s">
        <v>52</v>
      </c>
      <c r="B37" s="5" t="s">
        <v>53</v>
      </c>
    </row>
    <row r="38" customFormat="false" ht="21.75" hidden="false" customHeight="true" outlineLevel="0" collapsed="false">
      <c r="A38" s="3" t="s">
        <v>54</v>
      </c>
      <c r="B38" s="3"/>
    </row>
    <row r="39" customFormat="false" ht="90.25" hidden="false" customHeight="false" outlineLevel="0" collapsed="false">
      <c r="A39" s="4" t="s">
        <v>55</v>
      </c>
      <c r="B39" s="5" t="s">
        <v>56</v>
      </c>
    </row>
    <row r="40" customFormat="false" ht="21.75" hidden="false" customHeight="true" outlineLevel="0" collapsed="false">
      <c r="A40" s="3" t="s">
        <v>57</v>
      </c>
      <c r="B40" s="3"/>
    </row>
    <row r="41" customFormat="false" ht="39.55" hidden="false" customHeight="false" outlineLevel="0" collapsed="false">
      <c r="A41" s="4" t="s">
        <v>58</v>
      </c>
      <c r="B41" s="5" t="s">
        <v>59</v>
      </c>
    </row>
    <row r="42" customFormat="false" ht="21.75" hidden="false" customHeight="true" outlineLevel="0" collapsed="false">
      <c r="A42" s="3" t="s">
        <v>60</v>
      </c>
      <c r="B42" s="3"/>
    </row>
    <row r="43" customFormat="false" ht="26.85" hidden="false" customHeight="false" outlineLevel="0" collapsed="false">
      <c r="A43" s="4" t="s">
        <v>61</v>
      </c>
      <c r="B43" s="5" t="s">
        <v>62</v>
      </c>
    </row>
    <row r="44" customFormat="false" ht="15" hidden="false" customHeight="false" outlineLevel="0" collapsed="false">
      <c r="A44" s="4" t="s">
        <v>63</v>
      </c>
      <c r="B44" s="5" t="s">
        <v>64</v>
      </c>
    </row>
    <row r="45" customFormat="false" ht="26.85" hidden="false" customHeight="false" outlineLevel="0" collapsed="false">
      <c r="A45" s="4" t="s">
        <v>65</v>
      </c>
      <c r="B45" s="5" t="s">
        <v>66</v>
      </c>
    </row>
    <row r="46" customFormat="false" ht="21.75" hidden="false" customHeight="true" outlineLevel="0" collapsed="false">
      <c r="A46" s="3" t="s">
        <v>67</v>
      </c>
      <c r="B46" s="3"/>
    </row>
    <row r="47" customFormat="false" ht="15" hidden="false" customHeight="false" outlineLevel="0" collapsed="false">
      <c r="A47" s="4" t="s">
        <v>68</v>
      </c>
      <c r="B47" s="6" t="s">
        <v>69</v>
      </c>
    </row>
    <row r="48" customFormat="false" ht="26.85" hidden="false" customHeight="false" outlineLevel="0" collapsed="false">
      <c r="A48" s="4" t="s">
        <v>68</v>
      </c>
      <c r="B48" s="6" t="s">
        <v>70</v>
      </c>
    </row>
    <row r="49" customFormat="false" ht="26.85" hidden="false" customHeight="false" outlineLevel="0" collapsed="false">
      <c r="A49" s="4" t="s">
        <v>68</v>
      </c>
      <c r="B49" s="6" t="s">
        <v>71</v>
      </c>
    </row>
    <row r="50" customFormat="false" ht="26.85" hidden="false" customHeight="false" outlineLevel="0" collapsed="false">
      <c r="A50" s="4" t="s">
        <v>68</v>
      </c>
      <c r="B50" s="6" t="s">
        <v>72</v>
      </c>
    </row>
  </sheetData>
  <mergeCells count="18">
    <mergeCell ref="A1:B1"/>
    <mergeCell ref="A2:B2"/>
    <mergeCell ref="A3:B3"/>
    <mergeCell ref="A4:B4"/>
    <mergeCell ref="A10:B10"/>
    <mergeCell ref="A11:B11"/>
    <mergeCell ref="A17:B17"/>
    <mergeCell ref="A19:B19"/>
    <mergeCell ref="A21:B21"/>
    <mergeCell ref="A22:B22"/>
    <mergeCell ref="A26:B26"/>
    <mergeCell ref="A27:B27"/>
    <mergeCell ref="A35:B35"/>
    <mergeCell ref="A36:B36"/>
    <mergeCell ref="A38:B38"/>
    <mergeCell ref="A40:B40"/>
    <mergeCell ref="A42:B42"/>
    <mergeCell ref="A46:B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3" min="3" style="0" width="38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30"/>
    <col collapsed="false" customWidth="true" hidden="false" outlineLevel="0" max="11" min="11" style="0" width="60"/>
  </cols>
  <sheetData>
    <row r="1" customFormat="false" ht="30" hidden="false" customHeight="true" outlineLevel="0" collapsed="false">
      <c r="A1" s="7" t="s">
        <v>73</v>
      </c>
      <c r="B1" s="7" t="s">
        <v>74</v>
      </c>
      <c r="C1" s="7" t="s">
        <v>75</v>
      </c>
      <c r="D1" s="7" t="s">
        <v>76</v>
      </c>
      <c r="E1" s="7" t="s">
        <v>77</v>
      </c>
      <c r="F1" s="7" t="s">
        <v>78</v>
      </c>
      <c r="G1" s="7" t="s">
        <v>79</v>
      </c>
      <c r="H1" s="7" t="s">
        <v>80</v>
      </c>
      <c r="I1" s="7" t="s">
        <v>81</v>
      </c>
      <c r="J1" s="7" t="s">
        <v>82</v>
      </c>
      <c r="K1" s="7" t="s">
        <v>83</v>
      </c>
    </row>
    <row r="2" customFormat="false" ht="15" hidden="false" customHeight="false" outlineLevel="0" collapsed="false">
      <c r="A2" s="8" t="n">
        <v>1</v>
      </c>
      <c r="B2" s="8" t="s">
        <v>84</v>
      </c>
      <c r="C2" s="8" t="s">
        <v>85</v>
      </c>
      <c r="D2" s="8" t="s">
        <v>86</v>
      </c>
      <c r="E2" s="8" t="s">
        <v>87</v>
      </c>
      <c r="F2" s="8"/>
      <c r="G2" s="8"/>
      <c r="H2" s="8" t="s">
        <v>21</v>
      </c>
      <c r="I2" s="8" t="s">
        <v>88</v>
      </c>
      <c r="J2" s="8"/>
      <c r="K2" s="8" t="s">
        <v>89</v>
      </c>
    </row>
    <row r="3" customFormat="false" ht="15" hidden="false" customHeight="false" outlineLevel="0" collapsed="false">
      <c r="A3" s="8" t="n">
        <v>1</v>
      </c>
      <c r="B3" s="8" t="s">
        <v>90</v>
      </c>
      <c r="C3" s="8" t="s">
        <v>91</v>
      </c>
      <c r="D3" s="8" t="s">
        <v>86</v>
      </c>
      <c r="E3" s="8" t="s">
        <v>87</v>
      </c>
      <c r="F3" s="8"/>
      <c r="G3" s="8"/>
      <c r="H3" s="8" t="s">
        <v>21</v>
      </c>
      <c r="I3" s="8" t="s">
        <v>88</v>
      </c>
      <c r="J3" s="8"/>
      <c r="K3" s="8" t="s">
        <v>92</v>
      </c>
    </row>
    <row r="4" customFormat="false" ht="15" hidden="false" customHeight="false" outlineLevel="0" collapsed="false">
      <c r="A4" s="8" t="n">
        <v>1</v>
      </c>
      <c r="B4" s="8" t="s">
        <v>93</v>
      </c>
      <c r="C4" s="8" t="s">
        <v>94</v>
      </c>
      <c r="D4" s="8" t="s">
        <v>86</v>
      </c>
      <c r="E4" s="8" t="s">
        <v>87</v>
      </c>
      <c r="F4" s="8"/>
      <c r="G4" s="8"/>
      <c r="H4" s="8" t="s">
        <v>21</v>
      </c>
      <c r="I4" s="8" t="s">
        <v>88</v>
      </c>
      <c r="J4" s="8"/>
      <c r="K4" s="8" t="s">
        <v>95</v>
      </c>
    </row>
    <row r="5" customFormat="false" ht="15" hidden="false" customHeight="false" outlineLevel="0" collapsed="false">
      <c r="A5" s="8" t="n">
        <v>1</v>
      </c>
      <c r="B5" s="8" t="s">
        <v>96</v>
      </c>
      <c r="C5" s="8" t="s">
        <v>97</v>
      </c>
      <c r="D5" s="8" t="s">
        <v>86</v>
      </c>
      <c r="E5" s="8" t="s">
        <v>87</v>
      </c>
      <c r="F5" s="8"/>
      <c r="G5" s="8"/>
      <c r="H5" s="8" t="s">
        <v>21</v>
      </c>
      <c r="I5" s="8" t="s">
        <v>88</v>
      </c>
      <c r="J5" s="8"/>
      <c r="K5" s="8" t="s">
        <v>98</v>
      </c>
    </row>
    <row r="6" customFormat="false" ht="15" hidden="false" customHeight="false" outlineLevel="0" collapsed="false">
      <c r="A6" s="8" t="n">
        <v>1</v>
      </c>
      <c r="B6" s="8" t="s">
        <v>99</v>
      </c>
      <c r="C6" s="8" t="s">
        <v>100</v>
      </c>
      <c r="D6" s="8" t="s">
        <v>86</v>
      </c>
      <c r="E6" s="8" t="s">
        <v>87</v>
      </c>
      <c r="F6" s="8"/>
      <c r="G6" s="8"/>
      <c r="H6" s="8" t="s">
        <v>21</v>
      </c>
      <c r="I6" s="8" t="s">
        <v>88</v>
      </c>
      <c r="J6" s="8"/>
      <c r="K6" s="8" t="s">
        <v>101</v>
      </c>
    </row>
    <row r="7" customFormat="false" ht="15" hidden="false" customHeight="false" outlineLevel="0" collapsed="false">
      <c r="A7" s="8" t="n">
        <v>1</v>
      </c>
      <c r="B7" s="8" t="s">
        <v>102</v>
      </c>
      <c r="C7" s="8" t="s">
        <v>103</v>
      </c>
      <c r="D7" s="8" t="s">
        <v>86</v>
      </c>
      <c r="E7" s="8" t="s">
        <v>87</v>
      </c>
      <c r="F7" s="8"/>
      <c r="G7" s="8"/>
      <c r="H7" s="8" t="s">
        <v>21</v>
      </c>
      <c r="I7" s="8" t="s">
        <v>88</v>
      </c>
      <c r="J7" s="8"/>
      <c r="K7" s="8" t="s">
        <v>104</v>
      </c>
    </row>
    <row r="8" customFormat="false" ht="15" hidden="false" customHeight="false" outlineLevel="0" collapsed="false">
      <c r="A8" s="8" t="n">
        <v>1</v>
      </c>
      <c r="B8" s="8" t="s">
        <v>105</v>
      </c>
      <c r="C8" s="8" t="s">
        <v>106</v>
      </c>
      <c r="D8" s="8" t="s">
        <v>86</v>
      </c>
      <c r="E8" s="8" t="s">
        <v>87</v>
      </c>
      <c r="F8" s="8"/>
      <c r="G8" s="8"/>
      <c r="H8" s="8" t="s">
        <v>21</v>
      </c>
      <c r="I8" s="8" t="s">
        <v>88</v>
      </c>
      <c r="J8" s="8"/>
      <c r="K8" s="8" t="s">
        <v>107</v>
      </c>
    </row>
    <row r="9" customFormat="false" ht="15" hidden="false" customHeight="false" outlineLevel="0" collapsed="false">
      <c r="A9" s="8" t="n">
        <v>1</v>
      </c>
      <c r="B9" s="8" t="s">
        <v>108</v>
      </c>
      <c r="C9" s="8" t="s">
        <v>109</v>
      </c>
      <c r="D9" s="8" t="s">
        <v>86</v>
      </c>
      <c r="E9" s="8" t="s">
        <v>87</v>
      </c>
      <c r="F9" s="8"/>
      <c r="G9" s="8"/>
      <c r="H9" s="8" t="s">
        <v>21</v>
      </c>
      <c r="I9" s="8" t="s">
        <v>88</v>
      </c>
      <c r="J9" s="8"/>
      <c r="K9" s="8" t="s">
        <v>110</v>
      </c>
    </row>
    <row r="10" customFormat="false" ht="15" hidden="false" customHeight="false" outlineLevel="0" collapsed="false">
      <c r="A10" s="8" t="n">
        <v>1</v>
      </c>
      <c r="B10" s="8" t="s">
        <v>111</v>
      </c>
      <c r="C10" s="8" t="s">
        <v>112</v>
      </c>
      <c r="D10" s="8" t="s">
        <v>86</v>
      </c>
      <c r="E10" s="8" t="s">
        <v>87</v>
      </c>
      <c r="F10" s="8"/>
      <c r="G10" s="8"/>
      <c r="H10" s="8" t="s">
        <v>21</v>
      </c>
      <c r="I10" s="8" t="s">
        <v>88</v>
      </c>
      <c r="J10" s="8"/>
      <c r="K10" s="8" t="s">
        <v>113</v>
      </c>
    </row>
    <row r="11" customFormat="false" ht="15" hidden="false" customHeight="false" outlineLevel="0" collapsed="false">
      <c r="A11" s="8" t="n">
        <v>1</v>
      </c>
      <c r="B11" s="8" t="s">
        <v>114</v>
      </c>
      <c r="C11" s="8" t="s">
        <v>115</v>
      </c>
      <c r="D11" s="8" t="s">
        <v>86</v>
      </c>
      <c r="E11" s="8" t="s">
        <v>87</v>
      </c>
      <c r="F11" s="8"/>
      <c r="G11" s="8"/>
      <c r="H11" s="8" t="s">
        <v>21</v>
      </c>
      <c r="I11" s="8" t="s">
        <v>88</v>
      </c>
      <c r="J11" s="8"/>
      <c r="K11" s="8" t="s">
        <v>116</v>
      </c>
    </row>
    <row r="12" customFormat="false" ht="15" hidden="false" customHeight="false" outlineLevel="0" collapsed="false">
      <c r="A12" s="9" t="n">
        <v>2</v>
      </c>
      <c r="B12" s="9" t="s">
        <v>117</v>
      </c>
      <c r="C12" s="9" t="s">
        <v>118</v>
      </c>
      <c r="D12" s="9" t="s">
        <v>119</v>
      </c>
      <c r="E12" s="9" t="s">
        <v>87</v>
      </c>
      <c r="F12" s="9"/>
      <c r="G12" s="9"/>
      <c r="H12" s="9" t="s">
        <v>120</v>
      </c>
      <c r="I12" s="9" t="s">
        <v>88</v>
      </c>
      <c r="J12" s="9"/>
      <c r="K12" s="9" t="s">
        <v>121</v>
      </c>
    </row>
    <row r="13" customFormat="false" ht="15" hidden="false" customHeight="false" outlineLevel="0" collapsed="false">
      <c r="A13" s="9" t="n">
        <v>2</v>
      </c>
      <c r="B13" s="9" t="s">
        <v>122</v>
      </c>
      <c r="C13" s="9" t="s">
        <v>123</v>
      </c>
      <c r="D13" s="9" t="s">
        <v>119</v>
      </c>
      <c r="E13" s="9" t="s">
        <v>87</v>
      </c>
      <c r="F13" s="9"/>
      <c r="G13" s="9"/>
      <c r="H13" s="9" t="s">
        <v>120</v>
      </c>
      <c r="I13" s="9" t="s">
        <v>88</v>
      </c>
      <c r="J13" s="9"/>
      <c r="K13" s="9" t="s">
        <v>124</v>
      </c>
    </row>
    <row r="14" customFormat="false" ht="15" hidden="false" customHeight="false" outlineLevel="0" collapsed="false">
      <c r="A14" s="9" t="n">
        <v>2</v>
      </c>
      <c r="B14" s="9" t="s">
        <v>125</v>
      </c>
      <c r="C14" s="9" t="s">
        <v>126</v>
      </c>
      <c r="D14" s="9" t="s">
        <v>119</v>
      </c>
      <c r="E14" s="9" t="s">
        <v>87</v>
      </c>
      <c r="F14" s="9"/>
      <c r="G14" s="9"/>
      <c r="H14" s="9" t="s">
        <v>21</v>
      </c>
      <c r="I14" s="9" t="s">
        <v>88</v>
      </c>
      <c r="J14" s="9"/>
      <c r="K14" s="9" t="s">
        <v>127</v>
      </c>
    </row>
    <row r="15" customFormat="false" ht="15" hidden="false" customHeight="false" outlineLevel="0" collapsed="false">
      <c r="A15" s="9" t="n">
        <v>2</v>
      </c>
      <c r="B15" s="9" t="s">
        <v>128</v>
      </c>
      <c r="C15" s="9" t="s">
        <v>129</v>
      </c>
      <c r="D15" s="9" t="s">
        <v>119</v>
      </c>
      <c r="E15" s="9" t="s">
        <v>87</v>
      </c>
      <c r="F15" s="9"/>
      <c r="G15" s="9"/>
      <c r="H15" s="9" t="s">
        <v>21</v>
      </c>
      <c r="I15" s="9" t="s">
        <v>88</v>
      </c>
      <c r="J15" s="9"/>
      <c r="K15" s="9" t="s">
        <v>130</v>
      </c>
    </row>
    <row r="16" customFormat="false" ht="15" hidden="false" customHeight="false" outlineLevel="0" collapsed="false">
      <c r="A16" s="9" t="n">
        <v>2</v>
      </c>
      <c r="B16" s="9" t="s">
        <v>131</v>
      </c>
      <c r="C16" s="9" t="s">
        <v>132</v>
      </c>
      <c r="D16" s="9" t="s">
        <v>119</v>
      </c>
      <c r="E16" s="9" t="s">
        <v>87</v>
      </c>
      <c r="F16" s="9"/>
      <c r="G16" s="9"/>
      <c r="H16" s="9" t="s">
        <v>21</v>
      </c>
      <c r="I16" s="9" t="s">
        <v>88</v>
      </c>
      <c r="J16" s="9"/>
      <c r="K16" s="9" t="s">
        <v>133</v>
      </c>
    </row>
    <row r="17" customFormat="false" ht="15" hidden="false" customHeight="false" outlineLevel="0" collapsed="false">
      <c r="A17" s="9" t="n">
        <v>2</v>
      </c>
      <c r="B17" s="9" t="s">
        <v>134</v>
      </c>
      <c r="C17" s="9" t="s">
        <v>135</v>
      </c>
      <c r="D17" s="9" t="s">
        <v>119</v>
      </c>
      <c r="E17" s="9" t="s">
        <v>87</v>
      </c>
      <c r="F17" s="9"/>
      <c r="G17" s="9"/>
      <c r="H17" s="9" t="s">
        <v>21</v>
      </c>
      <c r="I17" s="9" t="s">
        <v>88</v>
      </c>
      <c r="J17" s="9"/>
      <c r="K17" s="9" t="s">
        <v>136</v>
      </c>
    </row>
    <row r="18" customFormat="false" ht="15" hidden="false" customHeight="false" outlineLevel="0" collapsed="false">
      <c r="A18" s="9" t="n">
        <v>2</v>
      </c>
      <c r="B18" s="9" t="s">
        <v>137</v>
      </c>
      <c r="C18" s="9" t="s">
        <v>138</v>
      </c>
      <c r="D18" s="9" t="s">
        <v>119</v>
      </c>
      <c r="E18" s="9" t="s">
        <v>87</v>
      </c>
      <c r="F18" s="9"/>
      <c r="G18" s="9"/>
      <c r="H18" s="9" t="s">
        <v>21</v>
      </c>
      <c r="I18" s="9" t="s">
        <v>88</v>
      </c>
      <c r="J18" s="9"/>
      <c r="K18" s="9" t="s">
        <v>139</v>
      </c>
    </row>
    <row r="19" customFormat="false" ht="15" hidden="false" customHeight="false" outlineLevel="0" collapsed="false">
      <c r="A19" s="9" t="n">
        <v>2</v>
      </c>
      <c r="B19" s="9" t="s">
        <v>140</v>
      </c>
      <c r="C19" s="9" t="s">
        <v>141</v>
      </c>
      <c r="D19" s="9" t="s">
        <v>119</v>
      </c>
      <c r="E19" s="9" t="s">
        <v>87</v>
      </c>
      <c r="F19" s="9"/>
      <c r="G19" s="9"/>
      <c r="H19" s="9" t="s">
        <v>21</v>
      </c>
      <c r="I19" s="9" t="s">
        <v>88</v>
      </c>
      <c r="J19" s="9"/>
      <c r="K19" s="9" t="s">
        <v>142</v>
      </c>
    </row>
    <row r="20" customFormat="false" ht="15" hidden="false" customHeight="false" outlineLevel="0" collapsed="false">
      <c r="A20" s="10" t="n">
        <v>3</v>
      </c>
      <c r="B20" s="10" t="s">
        <v>143</v>
      </c>
      <c r="C20" s="10" t="s">
        <v>144</v>
      </c>
      <c r="D20" s="10" t="s">
        <v>145</v>
      </c>
      <c r="E20" s="10" t="s">
        <v>146</v>
      </c>
      <c r="F20" s="10"/>
      <c r="G20" s="10"/>
      <c r="H20" s="10" t="s">
        <v>147</v>
      </c>
      <c r="I20" s="10" t="s">
        <v>88</v>
      </c>
      <c r="J20" s="10"/>
      <c r="K20" s="10" t="s">
        <v>148</v>
      </c>
    </row>
    <row r="21" customFormat="false" ht="15" hidden="false" customHeight="false" outlineLevel="0" collapsed="false">
      <c r="A21" s="10" t="n">
        <v>3</v>
      </c>
      <c r="B21" s="10" t="s">
        <v>149</v>
      </c>
      <c r="C21" s="10" t="s">
        <v>150</v>
      </c>
      <c r="D21" s="10" t="s">
        <v>145</v>
      </c>
      <c r="E21" s="10" t="s">
        <v>146</v>
      </c>
      <c r="F21" s="10"/>
      <c r="G21" s="10"/>
      <c r="H21" s="10" t="s">
        <v>151</v>
      </c>
      <c r="I21" s="10" t="s">
        <v>88</v>
      </c>
      <c r="J21" s="10"/>
      <c r="K21" s="10" t="s">
        <v>152</v>
      </c>
    </row>
    <row r="22" customFormat="false" ht="15" hidden="false" customHeight="false" outlineLevel="0" collapsed="false">
      <c r="A22" s="10" t="n">
        <v>3</v>
      </c>
      <c r="B22" s="10" t="s">
        <v>153</v>
      </c>
      <c r="C22" s="10" t="s">
        <v>154</v>
      </c>
      <c r="D22" s="10" t="s">
        <v>145</v>
      </c>
      <c r="E22" s="10" t="s">
        <v>146</v>
      </c>
      <c r="F22" s="10"/>
      <c r="G22" s="10"/>
      <c r="H22" s="10" t="s">
        <v>147</v>
      </c>
      <c r="I22" s="10" t="s">
        <v>88</v>
      </c>
      <c r="J22" s="10"/>
      <c r="K22" s="10" t="s">
        <v>155</v>
      </c>
    </row>
    <row r="23" customFormat="false" ht="15" hidden="false" customHeight="false" outlineLevel="0" collapsed="false">
      <c r="A23" s="10" t="n">
        <v>3</v>
      </c>
      <c r="B23" s="10" t="s">
        <v>156</v>
      </c>
      <c r="C23" s="10" t="s">
        <v>157</v>
      </c>
      <c r="D23" s="10" t="s">
        <v>145</v>
      </c>
      <c r="E23" s="10" t="s">
        <v>146</v>
      </c>
      <c r="F23" s="10"/>
      <c r="G23" s="10"/>
      <c r="H23" s="10" t="s">
        <v>147</v>
      </c>
      <c r="I23" s="10" t="s">
        <v>88</v>
      </c>
      <c r="J23" s="10"/>
      <c r="K23" s="10" t="s">
        <v>158</v>
      </c>
    </row>
    <row r="24" customFormat="false" ht="15" hidden="false" customHeight="false" outlineLevel="0" collapsed="false">
      <c r="A24" s="10" t="n">
        <v>3</v>
      </c>
      <c r="B24" s="10" t="s">
        <v>159</v>
      </c>
      <c r="C24" s="10" t="s">
        <v>160</v>
      </c>
      <c r="D24" s="10" t="s">
        <v>145</v>
      </c>
      <c r="E24" s="10" t="s">
        <v>146</v>
      </c>
      <c r="F24" s="10"/>
      <c r="G24" s="10"/>
      <c r="H24" s="10" t="s">
        <v>147</v>
      </c>
      <c r="I24" s="10" t="s">
        <v>88</v>
      </c>
      <c r="J24" s="10"/>
      <c r="K24" s="10" t="s">
        <v>161</v>
      </c>
    </row>
    <row r="25" customFormat="false" ht="15" hidden="false" customHeight="false" outlineLevel="0" collapsed="false">
      <c r="A25" s="10" t="n">
        <v>3</v>
      </c>
      <c r="B25" s="10" t="s">
        <v>162</v>
      </c>
      <c r="C25" s="10" t="s">
        <v>163</v>
      </c>
      <c r="D25" s="10" t="s">
        <v>145</v>
      </c>
      <c r="E25" s="10" t="s">
        <v>146</v>
      </c>
      <c r="F25" s="10"/>
      <c r="G25" s="10"/>
      <c r="H25" s="10" t="s">
        <v>164</v>
      </c>
      <c r="I25" s="10" t="s">
        <v>88</v>
      </c>
      <c r="J25" s="10"/>
      <c r="K25" s="10" t="s">
        <v>165</v>
      </c>
    </row>
    <row r="26" customFormat="false" ht="35.05" hidden="false" customHeight="false" outlineLevel="0" collapsed="false">
      <c r="A26" s="11" t="n">
        <v>4</v>
      </c>
      <c r="B26" s="11" t="s">
        <v>166</v>
      </c>
      <c r="C26" s="11" t="s">
        <v>167</v>
      </c>
      <c r="D26" s="11" t="s">
        <v>168</v>
      </c>
      <c r="E26" s="11" t="s">
        <v>87</v>
      </c>
      <c r="F26" s="11"/>
      <c r="G26" s="11"/>
      <c r="H26" s="11" t="s">
        <v>21</v>
      </c>
      <c r="I26" s="11" t="s">
        <v>169</v>
      </c>
      <c r="J26" s="11"/>
      <c r="K26" s="11" t="s">
        <v>170</v>
      </c>
    </row>
    <row r="27" customFormat="false" ht="15" hidden="false" customHeight="false" outlineLevel="0" collapsed="false">
      <c r="A27" s="11" t="n">
        <v>4</v>
      </c>
      <c r="B27" s="11" t="s">
        <v>171</v>
      </c>
      <c r="C27" s="11" t="s">
        <v>172</v>
      </c>
      <c r="D27" s="11" t="s">
        <v>168</v>
      </c>
      <c r="E27" s="11" t="s">
        <v>87</v>
      </c>
      <c r="F27" s="11"/>
      <c r="G27" s="11"/>
      <c r="H27" s="11" t="s">
        <v>21</v>
      </c>
      <c r="I27" s="11" t="s">
        <v>169</v>
      </c>
      <c r="J27" s="11"/>
      <c r="K27" s="11" t="s">
        <v>173</v>
      </c>
    </row>
    <row r="28" customFormat="false" ht="15" hidden="false" customHeight="false" outlineLevel="0" collapsed="false">
      <c r="A28" s="11" t="n">
        <v>4</v>
      </c>
      <c r="B28" s="11" t="s">
        <v>174</v>
      </c>
      <c r="C28" s="11" t="s">
        <v>175</v>
      </c>
      <c r="D28" s="11" t="s">
        <v>168</v>
      </c>
      <c r="E28" s="11" t="s">
        <v>87</v>
      </c>
      <c r="F28" s="11"/>
      <c r="G28" s="11"/>
      <c r="H28" s="11" t="s">
        <v>21</v>
      </c>
      <c r="I28" s="11" t="s">
        <v>169</v>
      </c>
      <c r="J28" s="11"/>
      <c r="K28" s="11" t="s">
        <v>176</v>
      </c>
    </row>
    <row r="29" customFormat="false" ht="23.85" hidden="false" customHeight="false" outlineLevel="0" collapsed="false">
      <c r="A29" s="11" t="n">
        <v>4</v>
      </c>
      <c r="B29" s="11" t="s">
        <v>177</v>
      </c>
      <c r="C29" s="11" t="s">
        <v>178</v>
      </c>
      <c r="D29" s="11" t="s">
        <v>168</v>
      </c>
      <c r="E29" s="11" t="s">
        <v>87</v>
      </c>
      <c r="F29" s="11"/>
      <c r="G29" s="11"/>
      <c r="H29" s="11" t="s">
        <v>21</v>
      </c>
      <c r="I29" s="11" t="s">
        <v>169</v>
      </c>
      <c r="J29" s="11"/>
      <c r="K29" s="11" t="s">
        <v>179</v>
      </c>
    </row>
    <row r="30" customFormat="false" ht="15" hidden="false" customHeight="false" outlineLevel="0" collapsed="false">
      <c r="A30" s="11" t="n">
        <v>4</v>
      </c>
      <c r="B30" s="11" t="s">
        <v>180</v>
      </c>
      <c r="C30" s="11" t="s">
        <v>181</v>
      </c>
      <c r="D30" s="11" t="s">
        <v>168</v>
      </c>
      <c r="E30" s="11" t="s">
        <v>87</v>
      </c>
      <c r="F30" s="11"/>
      <c r="G30" s="11"/>
      <c r="H30" s="11" t="s">
        <v>21</v>
      </c>
      <c r="I30" s="11" t="s">
        <v>169</v>
      </c>
      <c r="J30" s="11"/>
      <c r="K30" s="11" t="s">
        <v>182</v>
      </c>
    </row>
    <row r="31" customFormat="false" ht="23.85" hidden="false" customHeight="false" outlineLevel="0" collapsed="false">
      <c r="A31" s="12" t="n">
        <v>5</v>
      </c>
      <c r="B31" s="12" t="s">
        <v>183</v>
      </c>
      <c r="C31" s="12" t="s">
        <v>184</v>
      </c>
      <c r="D31" s="12" t="s">
        <v>185</v>
      </c>
      <c r="E31" s="12" t="s">
        <v>87</v>
      </c>
      <c r="F31" s="12"/>
      <c r="G31" s="12"/>
      <c r="H31" s="12" t="s">
        <v>186</v>
      </c>
      <c r="I31" s="12" t="s">
        <v>169</v>
      </c>
      <c r="J31" s="12"/>
      <c r="K31" s="12" t="s">
        <v>187</v>
      </c>
    </row>
    <row r="32" customFormat="false" ht="23.85" hidden="false" customHeight="false" outlineLevel="0" collapsed="false">
      <c r="A32" s="12" t="n">
        <v>5</v>
      </c>
      <c r="B32" s="12" t="s">
        <v>188</v>
      </c>
      <c r="C32" s="12" t="s">
        <v>189</v>
      </c>
      <c r="D32" s="12" t="s">
        <v>185</v>
      </c>
      <c r="E32" s="12" t="s">
        <v>87</v>
      </c>
      <c r="F32" s="12"/>
      <c r="G32" s="12"/>
      <c r="H32" s="12" t="s">
        <v>190</v>
      </c>
      <c r="I32" s="12" t="s">
        <v>169</v>
      </c>
      <c r="J32" s="12"/>
      <c r="K32" s="12" t="s">
        <v>191</v>
      </c>
    </row>
    <row r="33" customFormat="false" ht="15" hidden="false" customHeight="false" outlineLevel="0" collapsed="false">
      <c r="A33" s="12" t="n">
        <v>5</v>
      </c>
      <c r="B33" s="12" t="s">
        <v>192</v>
      </c>
      <c r="C33" s="12" t="s">
        <v>193</v>
      </c>
      <c r="D33" s="12" t="s">
        <v>185</v>
      </c>
      <c r="E33" s="12" t="s">
        <v>87</v>
      </c>
      <c r="F33" s="12"/>
      <c r="G33" s="12"/>
      <c r="H33" s="12" t="s">
        <v>194</v>
      </c>
      <c r="I33" s="12" t="s">
        <v>169</v>
      </c>
      <c r="J33" s="12"/>
      <c r="K33" s="12" t="s">
        <v>195</v>
      </c>
    </row>
    <row r="34" customFormat="false" ht="15" hidden="false" customHeight="false" outlineLevel="0" collapsed="false">
      <c r="A34" s="12" t="n">
        <v>5</v>
      </c>
      <c r="B34" s="12" t="s">
        <v>196</v>
      </c>
      <c r="C34" s="12" t="s">
        <v>197</v>
      </c>
      <c r="D34" s="12" t="s">
        <v>185</v>
      </c>
      <c r="E34" s="12" t="s">
        <v>87</v>
      </c>
      <c r="F34" s="12"/>
      <c r="G34" s="12"/>
      <c r="H34" s="12" t="s">
        <v>190</v>
      </c>
      <c r="I34" s="12" t="s">
        <v>169</v>
      </c>
      <c r="J34" s="12"/>
      <c r="K34" s="12" t="s">
        <v>198</v>
      </c>
    </row>
    <row r="35" customFormat="false" ht="15" hidden="false" customHeight="false" outlineLevel="0" collapsed="false">
      <c r="A35" s="12" t="n">
        <v>5</v>
      </c>
      <c r="B35" s="12" t="s">
        <v>199</v>
      </c>
      <c r="C35" s="12" t="s">
        <v>200</v>
      </c>
      <c r="D35" s="12" t="s">
        <v>185</v>
      </c>
      <c r="E35" s="12" t="s">
        <v>87</v>
      </c>
      <c r="F35" s="12"/>
      <c r="G35" s="12"/>
      <c r="H35" s="12" t="s">
        <v>190</v>
      </c>
      <c r="I35" s="12" t="s">
        <v>169</v>
      </c>
      <c r="J35" s="12"/>
      <c r="K35" s="12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5"/>
    <col collapsed="false" customWidth="true" hidden="false" outlineLevel="0" max="3" min="3" style="0" width="12"/>
  </cols>
  <sheetData>
    <row r="1" customFormat="false" ht="30" hidden="false" customHeight="true" outlineLevel="0" collapsed="false">
      <c r="A1" s="1" t="s">
        <v>202</v>
      </c>
      <c r="B1" s="1"/>
      <c r="C1" s="1"/>
    </row>
    <row r="3" customFormat="false" ht="21.75" hidden="false" customHeight="true" outlineLevel="0" collapsed="false">
      <c r="A3" s="13"/>
      <c r="B3" s="13"/>
      <c r="C3" s="13"/>
    </row>
    <row r="4" customFormat="false" ht="15" hidden="false" customHeight="false" outlineLevel="0" collapsed="false">
      <c r="A4" s="14" t="s">
        <v>203</v>
      </c>
      <c r="B4" s="14" t="s">
        <v>204</v>
      </c>
      <c r="C4" s="14" t="s">
        <v>205</v>
      </c>
    </row>
    <row r="5" customFormat="false" ht="15" hidden="false" customHeight="false" outlineLevel="0" collapsed="false">
      <c r="A5" s="15" t="s">
        <v>41</v>
      </c>
      <c r="B5" s="15" t="s">
        <v>206</v>
      </c>
      <c r="C5" s="15" t="s">
        <v>207</v>
      </c>
    </row>
    <row r="6" customFormat="false" ht="23.85" hidden="false" customHeight="false" outlineLevel="0" collapsed="false">
      <c r="A6" s="15" t="s">
        <v>43</v>
      </c>
      <c r="B6" s="15" t="s">
        <v>208</v>
      </c>
      <c r="C6" s="15" t="s">
        <v>209</v>
      </c>
    </row>
    <row r="7" customFormat="false" ht="15" hidden="false" customHeight="false" outlineLevel="0" collapsed="false">
      <c r="A7" s="15" t="s">
        <v>44</v>
      </c>
      <c r="B7" s="15" t="s">
        <v>210</v>
      </c>
      <c r="C7" s="15" t="s">
        <v>209</v>
      </c>
    </row>
    <row r="8" customFormat="false" ht="15" hidden="false" customHeight="false" outlineLevel="0" collapsed="false">
      <c r="A8" s="15" t="s">
        <v>45</v>
      </c>
      <c r="B8" s="15" t="s">
        <v>211</v>
      </c>
      <c r="C8" s="15" t="s">
        <v>209</v>
      </c>
    </row>
    <row r="9" customFormat="false" ht="15" hidden="false" customHeight="false" outlineLevel="0" collapsed="false">
      <c r="A9" s="15" t="s">
        <v>46</v>
      </c>
      <c r="B9" s="15" t="s">
        <v>212</v>
      </c>
      <c r="C9" s="15" t="s">
        <v>213</v>
      </c>
    </row>
    <row r="10" customFormat="false" ht="15" hidden="false" customHeight="false" outlineLevel="0" collapsed="false">
      <c r="A10" s="15" t="s">
        <v>214</v>
      </c>
      <c r="B10" s="15" t="s">
        <v>215</v>
      </c>
      <c r="C10" s="15" t="s">
        <v>216</v>
      </c>
    </row>
    <row r="11" customFormat="false" ht="21.75" hidden="false" customHeight="true" outlineLevel="0" collapsed="false">
      <c r="A11" s="13"/>
      <c r="B11" s="13"/>
      <c r="C11" s="13"/>
    </row>
    <row r="12" customFormat="false" ht="15" hidden="false" customHeight="false" outlineLevel="0" collapsed="false">
      <c r="A12" s="14" t="s">
        <v>203</v>
      </c>
      <c r="B12" s="14" t="s">
        <v>204</v>
      </c>
      <c r="C12" s="14" t="s">
        <v>205</v>
      </c>
    </row>
    <row r="13" customFormat="false" ht="15" hidden="false" customHeight="false" outlineLevel="0" collapsed="false">
      <c r="A13" s="15" t="s">
        <v>41</v>
      </c>
      <c r="B13" s="15" t="s">
        <v>217</v>
      </c>
      <c r="C13" s="15" t="s">
        <v>207</v>
      </c>
    </row>
    <row r="14" customFormat="false" ht="15" hidden="false" customHeight="false" outlineLevel="0" collapsed="false">
      <c r="A14" s="15" t="s">
        <v>43</v>
      </c>
      <c r="B14" s="15" t="s">
        <v>218</v>
      </c>
      <c r="C14" s="15" t="s">
        <v>207</v>
      </c>
    </row>
    <row r="15" customFormat="false" ht="15" hidden="false" customHeight="false" outlineLevel="0" collapsed="false">
      <c r="A15" s="15" t="s">
        <v>44</v>
      </c>
      <c r="B15" s="15" t="s">
        <v>219</v>
      </c>
      <c r="C15" s="15" t="s">
        <v>209</v>
      </c>
    </row>
    <row r="16" customFormat="false" ht="15" hidden="false" customHeight="false" outlineLevel="0" collapsed="false">
      <c r="A16" s="15" t="s">
        <v>45</v>
      </c>
      <c r="B16" s="15" t="s">
        <v>220</v>
      </c>
      <c r="C16" s="15" t="s">
        <v>207</v>
      </c>
    </row>
    <row r="17" customFormat="false" ht="15" hidden="false" customHeight="false" outlineLevel="0" collapsed="false">
      <c r="A17" s="15" t="s">
        <v>46</v>
      </c>
      <c r="B17" s="15" t="s">
        <v>221</v>
      </c>
      <c r="C17" s="15" t="s">
        <v>213</v>
      </c>
    </row>
    <row r="18" customFormat="false" ht="15" hidden="false" customHeight="false" outlineLevel="0" collapsed="false">
      <c r="A18" s="15" t="s">
        <v>214</v>
      </c>
      <c r="B18" s="15" t="s">
        <v>222</v>
      </c>
      <c r="C18" s="15" t="s">
        <v>216</v>
      </c>
    </row>
    <row r="19" customFormat="false" ht="21.75" hidden="false" customHeight="true" outlineLevel="0" collapsed="false">
      <c r="A19" s="13"/>
      <c r="B19" s="13"/>
      <c r="C19" s="13"/>
    </row>
    <row r="20" customFormat="false" ht="15" hidden="false" customHeight="false" outlineLevel="0" collapsed="false">
      <c r="A20" s="14" t="s">
        <v>203</v>
      </c>
      <c r="B20" s="14" t="s">
        <v>204</v>
      </c>
      <c r="C20" s="14" t="s">
        <v>205</v>
      </c>
    </row>
    <row r="21" customFormat="false" ht="23.85" hidden="false" customHeight="false" outlineLevel="0" collapsed="false">
      <c r="A21" s="15" t="s">
        <v>41</v>
      </c>
      <c r="B21" s="15" t="s">
        <v>223</v>
      </c>
      <c r="C21" s="15" t="s">
        <v>207</v>
      </c>
    </row>
    <row r="22" customFormat="false" ht="23.85" hidden="false" customHeight="false" outlineLevel="0" collapsed="false">
      <c r="A22" s="15" t="s">
        <v>43</v>
      </c>
      <c r="B22" s="15" t="s">
        <v>224</v>
      </c>
      <c r="C22" s="15" t="s">
        <v>225</v>
      </c>
    </row>
    <row r="23" customFormat="false" ht="15" hidden="false" customHeight="false" outlineLevel="0" collapsed="false">
      <c r="A23" s="15" t="s">
        <v>44</v>
      </c>
      <c r="B23" s="15" t="s">
        <v>226</v>
      </c>
      <c r="C23" s="15" t="s">
        <v>207</v>
      </c>
    </row>
    <row r="24" customFormat="false" ht="23.85" hidden="false" customHeight="false" outlineLevel="0" collapsed="false">
      <c r="A24" s="15" t="s">
        <v>45</v>
      </c>
      <c r="B24" s="15" t="s">
        <v>227</v>
      </c>
      <c r="C24" s="15" t="s">
        <v>228</v>
      </c>
    </row>
    <row r="25" customFormat="false" ht="15" hidden="false" customHeight="false" outlineLevel="0" collapsed="false">
      <c r="A25" s="15" t="s">
        <v>46</v>
      </c>
      <c r="B25" s="15" t="s">
        <v>229</v>
      </c>
      <c r="C25" s="15" t="s">
        <v>207</v>
      </c>
    </row>
    <row r="26" customFormat="false" ht="15" hidden="false" customHeight="false" outlineLevel="0" collapsed="false">
      <c r="A26" s="15" t="s">
        <v>214</v>
      </c>
      <c r="B26" s="15" t="s">
        <v>222</v>
      </c>
      <c r="C26" s="15" t="s">
        <v>216</v>
      </c>
    </row>
    <row r="27" customFormat="false" ht="21.75" hidden="false" customHeight="true" outlineLevel="0" collapsed="false">
      <c r="A27" s="13"/>
      <c r="B27" s="13"/>
      <c r="C27" s="13"/>
    </row>
    <row r="28" customFormat="false" ht="15" hidden="false" customHeight="false" outlineLevel="0" collapsed="false">
      <c r="A28" s="14" t="s">
        <v>203</v>
      </c>
      <c r="B28" s="14" t="s">
        <v>204</v>
      </c>
      <c r="C28" s="14" t="s">
        <v>205</v>
      </c>
    </row>
    <row r="29" customFormat="false" ht="15" hidden="false" customHeight="false" outlineLevel="0" collapsed="false">
      <c r="A29" s="15" t="s">
        <v>41</v>
      </c>
      <c r="B29" s="15" t="s">
        <v>230</v>
      </c>
      <c r="C29" s="15" t="s">
        <v>228</v>
      </c>
    </row>
    <row r="30" customFormat="false" ht="23.85" hidden="false" customHeight="false" outlineLevel="0" collapsed="false">
      <c r="A30" s="15" t="s">
        <v>43</v>
      </c>
      <c r="B30" s="15" t="s">
        <v>231</v>
      </c>
      <c r="C30" s="15" t="s">
        <v>209</v>
      </c>
    </row>
    <row r="31" customFormat="false" ht="15" hidden="false" customHeight="false" outlineLevel="0" collapsed="false">
      <c r="A31" s="15" t="s">
        <v>44</v>
      </c>
      <c r="B31" s="15" t="s">
        <v>232</v>
      </c>
      <c r="C31" s="15" t="s">
        <v>213</v>
      </c>
    </row>
    <row r="32" customFormat="false" ht="23.85" hidden="false" customHeight="false" outlineLevel="0" collapsed="false">
      <c r="A32" s="15" t="s">
        <v>45</v>
      </c>
      <c r="B32" s="15" t="s">
        <v>233</v>
      </c>
      <c r="C32" s="15" t="s">
        <v>209</v>
      </c>
    </row>
    <row r="33" customFormat="false" ht="15" hidden="false" customHeight="false" outlineLevel="0" collapsed="false">
      <c r="A33" s="15" t="s">
        <v>46</v>
      </c>
      <c r="B33" s="15" t="s">
        <v>234</v>
      </c>
      <c r="C33" s="15" t="s">
        <v>207</v>
      </c>
    </row>
    <row r="34" customFormat="false" ht="15" hidden="false" customHeight="false" outlineLevel="0" collapsed="false">
      <c r="A34" s="15" t="s">
        <v>214</v>
      </c>
      <c r="B34" s="15" t="s">
        <v>222</v>
      </c>
      <c r="C34" s="15" t="s">
        <v>216</v>
      </c>
    </row>
    <row r="35" customFormat="false" ht="21.75" hidden="false" customHeight="true" outlineLevel="0" collapsed="false">
      <c r="A35" s="13"/>
      <c r="B35" s="13"/>
      <c r="C35" s="13"/>
    </row>
    <row r="36" customFormat="false" ht="15" hidden="false" customHeight="false" outlineLevel="0" collapsed="false">
      <c r="A36" s="14" t="s">
        <v>203</v>
      </c>
      <c r="B36" s="14" t="s">
        <v>204</v>
      </c>
      <c r="C36" s="14" t="s">
        <v>205</v>
      </c>
    </row>
    <row r="37" customFormat="false" ht="15" hidden="false" customHeight="false" outlineLevel="0" collapsed="false">
      <c r="A37" s="15" t="s">
        <v>235</v>
      </c>
      <c r="B37" s="15" t="s">
        <v>236</v>
      </c>
      <c r="C37" s="15" t="s">
        <v>237</v>
      </c>
    </row>
    <row r="38" customFormat="false" ht="15" hidden="false" customHeight="false" outlineLevel="0" collapsed="false">
      <c r="A38" s="15" t="s">
        <v>235</v>
      </c>
      <c r="B38" s="15" t="s">
        <v>238</v>
      </c>
      <c r="C38" s="15" t="s">
        <v>239</v>
      </c>
    </row>
    <row r="39" customFormat="false" ht="15" hidden="false" customHeight="false" outlineLevel="0" collapsed="false">
      <c r="A39" s="15" t="s">
        <v>235</v>
      </c>
      <c r="B39" s="15" t="s">
        <v>240</v>
      </c>
      <c r="C39" s="15" t="s">
        <v>241</v>
      </c>
    </row>
    <row r="40" customFormat="false" ht="15" hidden="false" customHeight="false" outlineLevel="0" collapsed="false">
      <c r="A40" s="15" t="s">
        <v>242</v>
      </c>
      <c r="B40" s="15" t="s">
        <v>243</v>
      </c>
      <c r="C40" s="15" t="s">
        <v>244</v>
      </c>
    </row>
    <row r="41" customFormat="false" ht="15" hidden="false" customHeight="false" outlineLevel="0" collapsed="false">
      <c r="A41" s="15" t="s">
        <v>242</v>
      </c>
      <c r="B41" s="15" t="s">
        <v>245</v>
      </c>
      <c r="C41" s="15" t="s">
        <v>244</v>
      </c>
    </row>
    <row r="42" customFormat="false" ht="21.75" hidden="false" customHeight="true" outlineLevel="0" collapsed="false">
      <c r="A42" s="13"/>
      <c r="B42" s="13"/>
      <c r="C42" s="13"/>
    </row>
    <row r="43" customFormat="false" ht="15" hidden="false" customHeight="false" outlineLevel="0" collapsed="false">
      <c r="A43" s="16" t="s">
        <v>246</v>
      </c>
      <c r="B43" s="17" t="s">
        <v>247</v>
      </c>
      <c r="C43" s="17"/>
    </row>
    <row r="44" customFormat="false" ht="15" hidden="false" customHeight="false" outlineLevel="0" collapsed="false">
      <c r="A44" s="16" t="s">
        <v>246</v>
      </c>
      <c r="B44" s="17" t="s">
        <v>248</v>
      </c>
      <c r="C44" s="17"/>
    </row>
    <row r="45" customFormat="false" ht="15" hidden="false" customHeight="false" outlineLevel="0" collapsed="false">
      <c r="A45" s="16" t="s">
        <v>246</v>
      </c>
      <c r="B45" s="17" t="s">
        <v>249</v>
      </c>
      <c r="C45" s="17"/>
    </row>
    <row r="46" customFormat="false" ht="23.85" hidden="false" customHeight="false" outlineLevel="0" collapsed="false">
      <c r="A46" s="16" t="s">
        <v>246</v>
      </c>
      <c r="B46" s="17" t="s">
        <v>250</v>
      </c>
      <c r="C46" s="17"/>
    </row>
    <row r="47" customFormat="false" ht="23.85" hidden="false" customHeight="false" outlineLevel="0" collapsed="false">
      <c r="A47" s="16" t="s">
        <v>246</v>
      </c>
      <c r="B47" s="17" t="s">
        <v>251</v>
      </c>
      <c r="C47" s="17"/>
    </row>
  </sheetData>
  <mergeCells count="7">
    <mergeCell ref="A1:C1"/>
    <mergeCell ref="A3:C3"/>
    <mergeCell ref="A11:C11"/>
    <mergeCell ref="A19:C19"/>
    <mergeCell ref="A27:C27"/>
    <mergeCell ref="A35:C35"/>
    <mergeCell ref="A42:C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" t="s">
        <v>252</v>
      </c>
      <c r="B1" s="1"/>
    </row>
    <row r="3" customFormat="false" ht="21.75" hidden="false" customHeight="true" outlineLevel="0" collapsed="false">
      <c r="A3" s="13"/>
      <c r="B3" s="13"/>
    </row>
    <row r="4" customFormat="false" ht="60" hidden="false" customHeight="true" outlineLevel="0" collapsed="false">
      <c r="A4" s="4" t="s">
        <v>253</v>
      </c>
      <c r="B4" s="5" t="s">
        <v>254</v>
      </c>
    </row>
    <row r="5" customFormat="false" ht="30" hidden="false" customHeight="true" outlineLevel="0" collapsed="false">
      <c r="A5" s="4" t="s">
        <v>255</v>
      </c>
      <c r="B5" s="5" t="s">
        <v>256</v>
      </c>
    </row>
    <row r="6" customFormat="false" ht="60" hidden="false" customHeight="true" outlineLevel="0" collapsed="false">
      <c r="A6" s="4" t="s">
        <v>257</v>
      </c>
      <c r="B6" s="5" t="s">
        <v>258</v>
      </c>
    </row>
    <row r="7" customFormat="false" ht="60" hidden="false" customHeight="true" outlineLevel="0" collapsed="false">
      <c r="A7" s="4" t="s">
        <v>259</v>
      </c>
      <c r="B7" s="5" t="s">
        <v>260</v>
      </c>
    </row>
    <row r="8" customFormat="false" ht="60" hidden="false" customHeight="true" outlineLevel="0" collapsed="false">
      <c r="A8" s="4" t="s">
        <v>261</v>
      </c>
      <c r="B8" s="5" t="s">
        <v>262</v>
      </c>
    </row>
    <row r="9" customFormat="false" ht="30" hidden="false" customHeight="true" outlineLevel="0" collapsed="false">
      <c r="A9" s="4" t="s">
        <v>263</v>
      </c>
      <c r="B9" s="5" t="s">
        <v>264</v>
      </c>
    </row>
    <row r="10" customFormat="false" ht="21.75" hidden="false" customHeight="true" outlineLevel="0" collapsed="false">
      <c r="A10" s="13"/>
      <c r="B10" s="13"/>
    </row>
    <row r="11" customFormat="false" ht="30" hidden="false" customHeight="true" outlineLevel="0" collapsed="false">
      <c r="A11" s="4" t="s">
        <v>253</v>
      </c>
      <c r="B11" s="5" t="s">
        <v>265</v>
      </c>
    </row>
    <row r="12" customFormat="false" ht="30" hidden="false" customHeight="true" outlineLevel="0" collapsed="false">
      <c r="A12" s="4" t="s">
        <v>255</v>
      </c>
      <c r="B12" s="5" t="s">
        <v>266</v>
      </c>
    </row>
    <row r="13" customFormat="false" ht="60" hidden="false" customHeight="true" outlineLevel="0" collapsed="false">
      <c r="A13" s="4" t="s">
        <v>257</v>
      </c>
      <c r="B13" s="5" t="s">
        <v>267</v>
      </c>
    </row>
    <row r="14" customFormat="false" ht="60" hidden="false" customHeight="true" outlineLevel="0" collapsed="false">
      <c r="A14" s="4" t="s">
        <v>268</v>
      </c>
      <c r="B14" s="5" t="s">
        <v>269</v>
      </c>
    </row>
    <row r="15" customFormat="false" ht="30" hidden="false" customHeight="true" outlineLevel="0" collapsed="false">
      <c r="A15" s="4" t="s">
        <v>270</v>
      </c>
      <c r="B15" s="5" t="s">
        <v>271</v>
      </c>
    </row>
    <row r="16" customFormat="false" ht="30" hidden="false" customHeight="true" outlineLevel="0" collapsed="false">
      <c r="A16" s="4" t="s">
        <v>263</v>
      </c>
      <c r="B16" s="5" t="s">
        <v>272</v>
      </c>
    </row>
    <row r="17" customFormat="false" ht="21.75" hidden="false" customHeight="true" outlineLevel="0" collapsed="false">
      <c r="A17" s="13"/>
      <c r="B17" s="13"/>
    </row>
    <row r="18" customFormat="false" ht="30" hidden="false" customHeight="true" outlineLevel="0" collapsed="false">
      <c r="A18" s="4" t="s">
        <v>253</v>
      </c>
      <c r="B18" s="5" t="s">
        <v>273</v>
      </c>
    </row>
    <row r="19" customFormat="false" ht="60" hidden="false" customHeight="true" outlineLevel="0" collapsed="false">
      <c r="A19" s="4" t="s">
        <v>274</v>
      </c>
      <c r="B19" s="5" t="s">
        <v>275</v>
      </c>
    </row>
    <row r="20" customFormat="false" ht="30" hidden="false" customHeight="true" outlineLevel="0" collapsed="false">
      <c r="A20" s="4" t="s">
        <v>263</v>
      </c>
      <c r="B20" s="5" t="s">
        <v>276</v>
      </c>
    </row>
    <row r="21" customFormat="false" ht="21.75" hidden="false" customHeight="true" outlineLevel="0" collapsed="false">
      <c r="A21" s="13"/>
      <c r="B21" s="13"/>
    </row>
    <row r="22" customFormat="false" ht="30" hidden="false" customHeight="true" outlineLevel="0" collapsed="false">
      <c r="A22" s="4" t="s">
        <v>253</v>
      </c>
      <c r="B22" s="5" t="s">
        <v>277</v>
      </c>
    </row>
    <row r="23" customFormat="false" ht="30" hidden="false" customHeight="true" outlineLevel="0" collapsed="false">
      <c r="A23" s="4" t="s">
        <v>255</v>
      </c>
      <c r="B23" s="5" t="s">
        <v>278</v>
      </c>
    </row>
    <row r="24" customFormat="false" ht="60" hidden="false" customHeight="true" outlineLevel="0" collapsed="false">
      <c r="A24" s="4" t="s">
        <v>268</v>
      </c>
      <c r="B24" s="5" t="s">
        <v>279</v>
      </c>
    </row>
    <row r="25" customFormat="false" ht="30" hidden="false" customHeight="true" outlineLevel="0" collapsed="false">
      <c r="A25" s="4" t="s">
        <v>263</v>
      </c>
      <c r="B25" s="5" t="s">
        <v>280</v>
      </c>
    </row>
    <row r="26" customFormat="false" ht="21.75" hidden="false" customHeight="true" outlineLevel="0" collapsed="false">
      <c r="A26" s="13"/>
      <c r="B26" s="13"/>
    </row>
    <row r="27" customFormat="false" ht="30" hidden="false" customHeight="true" outlineLevel="0" collapsed="false">
      <c r="A27" s="4" t="s">
        <v>253</v>
      </c>
      <c r="B27" s="5" t="s">
        <v>281</v>
      </c>
    </row>
    <row r="28" customFormat="false" ht="60" hidden="false" customHeight="true" outlineLevel="0" collapsed="false">
      <c r="A28" s="4" t="s">
        <v>83</v>
      </c>
      <c r="B28" s="5" t="s">
        <v>282</v>
      </c>
    </row>
  </sheetData>
  <mergeCells count="6">
    <mergeCell ref="A1:B1"/>
    <mergeCell ref="A3:B3"/>
    <mergeCell ref="A10:B10"/>
    <mergeCell ref="A17:B17"/>
    <mergeCell ref="A21:B21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4" min="3" style="0" width="18"/>
  </cols>
  <sheetData>
    <row r="1" customFormat="false" ht="30" hidden="false" customHeight="true" outlineLevel="0" collapsed="false">
      <c r="A1" s="1" t="s">
        <v>283</v>
      </c>
      <c r="B1" s="1"/>
      <c r="C1" s="1"/>
      <c r="D1" s="1"/>
    </row>
    <row r="2" customFormat="false" ht="15" hidden="false" customHeight="false" outlineLevel="0" collapsed="false">
      <c r="A2" s="2" t="s">
        <v>284</v>
      </c>
      <c r="B2" s="2"/>
      <c r="C2" s="2"/>
      <c r="D2" s="2"/>
    </row>
    <row r="4" customFormat="false" ht="15" hidden="false" customHeight="false" outlineLevel="0" collapsed="false">
      <c r="A4" s="13" t="s">
        <v>285</v>
      </c>
      <c r="B4" s="13"/>
      <c r="C4" s="13"/>
      <c r="D4" s="13"/>
    </row>
    <row r="5" customFormat="false" ht="15" hidden="false" customHeight="false" outlineLevel="0" collapsed="false">
      <c r="A5" s="18" t="s">
        <v>76</v>
      </c>
      <c r="B5" s="18" t="s">
        <v>286</v>
      </c>
      <c r="C5" s="18" t="s">
        <v>287</v>
      </c>
      <c r="D5" s="18" t="s">
        <v>288</v>
      </c>
    </row>
    <row r="6" customFormat="false" ht="15" hidden="false" customHeight="false" outlineLevel="0" collapsed="false">
      <c r="A6" s="0" t="s">
        <v>289</v>
      </c>
      <c r="B6" s="0" t="n">
        <f aca="false">COUNTIF('Citation Tracker'!D:D,"Tier 1")</f>
        <v>10</v>
      </c>
      <c r="C6" s="0" t="n">
        <f aca="false">COUNTIFS('Citation Tracker'!D:D,"Tier 1",'Citation Tracker'!E:E,"Submitted")+COUNTIFS('Citation Tracker'!D:D,"Tier 1",'Citation Tracker'!E:E,"Verified Live")+COUNTIFS('Citation Tracker'!D:D,"Tier 1",'Citation Tracker'!E:E,"Pending Verification")</f>
        <v>0</v>
      </c>
      <c r="D6" s="0" t="n">
        <f aca="false">COUNTIFS('Citation Tracker'!D:D,"Tier 1",'Citation Tracker'!E:E,"Verified Live")</f>
        <v>0</v>
      </c>
    </row>
    <row r="7" customFormat="false" ht="15" hidden="false" customHeight="false" outlineLevel="0" collapsed="false">
      <c r="A7" s="0" t="s">
        <v>290</v>
      </c>
      <c r="B7" s="0" t="n">
        <f aca="false">COUNTIF('Citation Tracker'!D:D,"Tier 2")</f>
        <v>8</v>
      </c>
      <c r="C7" s="0" t="n">
        <f aca="false">COUNTIFS('Citation Tracker'!D:D,"Tier 2",'Citation Tracker'!E:E,"Submitted")+COUNTIFS('Citation Tracker'!D:D,"Tier 2",'Citation Tracker'!E:E,"Verified Live")+COUNTIFS('Citation Tracker'!D:D,"Tier 2",'Citation Tracker'!E:E,"Pending Verification")</f>
        <v>0</v>
      </c>
      <c r="D7" s="0" t="n">
        <f aca="false">COUNTIFS('Citation Tracker'!D:D,"Tier 2",'Citation Tracker'!E:E,"Verified Live")</f>
        <v>0</v>
      </c>
    </row>
    <row r="8" customFormat="false" ht="15" hidden="false" customHeight="false" outlineLevel="0" collapsed="false">
      <c r="A8" s="0" t="s">
        <v>291</v>
      </c>
      <c r="B8" s="0" t="n">
        <f aca="false">COUNTIF('Citation Tracker'!D:D,"Tier 4")</f>
        <v>5</v>
      </c>
      <c r="C8" s="0" t="n">
        <f aca="false">COUNTIFS('Citation Tracker'!D:D,"Tier 4",'Citation Tracker'!E:E,"Submitted")+COUNTIFS('Citation Tracker'!D:D,"Tier 4",'Citation Tracker'!E:E,"Verified Live")</f>
        <v>0</v>
      </c>
      <c r="D8" s="0" t="n">
        <f aca="false">COUNTIFS('Citation Tracker'!D:D,"Tier 4",'Citation Tracker'!E:E,"Verified Live")</f>
        <v>0</v>
      </c>
    </row>
    <row r="9" customFormat="false" ht="15" hidden="false" customHeight="false" outlineLevel="0" collapsed="false">
      <c r="A9" s="19" t="s">
        <v>292</v>
      </c>
      <c r="B9" s="19" t="n">
        <f aca="false">SUM(B6:B8)</f>
        <v>23</v>
      </c>
      <c r="C9" s="19" t="n">
        <f aca="false">SUM(C6:C8)</f>
        <v>0</v>
      </c>
      <c r="D9" s="19" t="n">
        <f aca="false">SUM(D6:D8)</f>
        <v>0</v>
      </c>
    </row>
    <row r="12" customFormat="false" ht="15" hidden="false" customHeight="false" outlineLevel="0" collapsed="false">
      <c r="A12" s="13" t="s">
        <v>293</v>
      </c>
      <c r="B12" s="13"/>
      <c r="C12" s="13"/>
      <c r="D12" s="13"/>
    </row>
    <row r="13" customFormat="false" ht="15" hidden="false" customHeight="false" outlineLevel="0" collapsed="false">
      <c r="A13" s="18" t="s">
        <v>294</v>
      </c>
      <c r="B13" s="18" t="s">
        <v>295</v>
      </c>
      <c r="C13" s="18" t="s">
        <v>296</v>
      </c>
      <c r="D13" s="18" t="s">
        <v>297</v>
      </c>
    </row>
    <row r="14" customFormat="false" ht="15" hidden="false" customHeight="false" outlineLevel="0" collapsed="false">
      <c r="A14" s="0" t="s">
        <v>298</v>
      </c>
      <c r="B14" s="0" t="n">
        <v>18</v>
      </c>
      <c r="C14" s="0" t="n">
        <v>0</v>
      </c>
      <c r="D14" s="0" t="n">
        <v>67.8</v>
      </c>
    </row>
    <row r="15" customFormat="false" ht="15" hidden="false" customHeight="false" outlineLevel="0" collapsed="false">
      <c r="A15" s="0" t="s">
        <v>299</v>
      </c>
    </row>
    <row r="16" customFormat="false" ht="15" hidden="false" customHeight="false" outlineLevel="0" collapsed="false">
      <c r="A16" s="0" t="s">
        <v>300</v>
      </c>
    </row>
    <row r="17" customFormat="false" ht="15" hidden="false" customHeight="false" outlineLevel="0" collapsed="false">
      <c r="A17" s="0" t="s">
        <v>301</v>
      </c>
    </row>
    <row r="18" customFormat="false" ht="15" hidden="false" customHeight="false" outlineLevel="0" collapsed="false">
      <c r="A18" s="0" t="s">
        <v>302</v>
      </c>
    </row>
    <row r="19" customFormat="false" ht="15" hidden="false" customHeight="false" outlineLevel="0" collapsed="false">
      <c r="A19" s="0" t="s">
        <v>303</v>
      </c>
    </row>
    <row r="20" customFormat="false" ht="15" hidden="false" customHeight="false" outlineLevel="0" collapsed="false">
      <c r="A20" s="0" t="s">
        <v>304</v>
      </c>
    </row>
    <row r="21" customFormat="false" ht="15" hidden="false" customHeight="false" outlineLevel="0" collapsed="false">
      <c r="A21" s="0" t="s">
        <v>305</v>
      </c>
    </row>
    <row r="24" customFormat="false" ht="15" hidden="false" customHeight="false" outlineLevel="0" collapsed="false">
      <c r="A24" s="13" t="s">
        <v>306</v>
      </c>
      <c r="B24" s="13"/>
      <c r="C24" s="13"/>
      <c r="D24" s="13"/>
    </row>
    <row r="25" customFormat="false" ht="15" hidden="false" customHeight="false" outlineLevel="0" collapsed="false">
      <c r="A25" s="18" t="s">
        <v>294</v>
      </c>
      <c r="B25" s="18" t="s">
        <v>307</v>
      </c>
      <c r="C25" s="18" t="s">
        <v>308</v>
      </c>
      <c r="D25" s="18" t="s">
        <v>309</v>
      </c>
    </row>
    <row r="26" customFormat="false" ht="15" hidden="false" customHeight="false" outlineLevel="0" collapsed="false">
      <c r="A26" s="0" t="s">
        <v>298</v>
      </c>
      <c r="D26" s="0" t="n">
        <f aca="false">B26+C26</f>
        <v>0</v>
      </c>
    </row>
    <row r="27" customFormat="false" ht="15" hidden="false" customHeight="false" outlineLevel="0" collapsed="false">
      <c r="A27" s="0" t="s">
        <v>299</v>
      </c>
      <c r="D27" s="0" t="n">
        <f aca="false">B27+C27</f>
        <v>0</v>
      </c>
    </row>
    <row r="28" customFormat="false" ht="15" hidden="false" customHeight="false" outlineLevel="0" collapsed="false">
      <c r="A28" s="0" t="s">
        <v>300</v>
      </c>
      <c r="D28" s="0" t="n">
        <f aca="false">B28+C28</f>
        <v>0</v>
      </c>
    </row>
    <row r="29" customFormat="false" ht="15" hidden="false" customHeight="false" outlineLevel="0" collapsed="false">
      <c r="A29" s="0" t="s">
        <v>301</v>
      </c>
      <c r="D29" s="0" t="n">
        <f aca="false">B29+C29</f>
        <v>0</v>
      </c>
    </row>
    <row r="30" customFormat="false" ht="15" hidden="false" customHeight="false" outlineLevel="0" collapsed="false">
      <c r="A30" s="0" t="s">
        <v>302</v>
      </c>
      <c r="D30" s="0" t="n">
        <f aca="false">B30+C30</f>
        <v>0</v>
      </c>
    </row>
    <row r="31" customFormat="false" ht="15" hidden="false" customHeight="false" outlineLevel="0" collapsed="false">
      <c r="A31" s="0" t="s">
        <v>303</v>
      </c>
      <c r="D31" s="0" t="n">
        <f aca="false">B31+C31</f>
        <v>0</v>
      </c>
    </row>
    <row r="32" customFormat="false" ht="15" hidden="false" customHeight="false" outlineLevel="0" collapsed="false">
      <c r="A32" s="0" t="s">
        <v>304</v>
      </c>
      <c r="D32" s="0" t="n">
        <f aca="false">B32+C32</f>
        <v>0</v>
      </c>
    </row>
    <row r="33" customFormat="false" ht="15" hidden="false" customHeight="false" outlineLevel="0" collapsed="false">
      <c r="A33" s="0" t="s">
        <v>305</v>
      </c>
      <c r="D33" s="0" t="n">
        <f aca="false">B33+C33</f>
        <v>0</v>
      </c>
    </row>
  </sheetData>
  <mergeCells count="5">
    <mergeCell ref="A1:D1"/>
    <mergeCell ref="A2:D2"/>
    <mergeCell ref="A4:D4"/>
    <mergeCell ref="A12:D12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2026-05-25T16:27:57Z</dcterms:created>
  <dc:creator>openpyxl</dc:creator>
  <dc:description/>
  <dc:language>en-US</dc:language>
  <cp:lastModifiedBy/>
  <dcterms:modified xsi:type="dcterms:W3CDTF">2026-05-25T16:27:57Z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